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Mileage Log" sheetId="3" state="visible" r:id="rId3"/>
    <sheet name="Weekly Earnings" sheetId="4" state="visible" r:id="rId4"/>
    <sheet name="Expense Tracker" sheetId="5" state="visible" r:id="rId5"/>
    <sheet name="Quarterly Tax" sheetId="6" state="visible" r:id="rId6"/>
  </sheets>
  <definedNames>
    <definedName name="ExpenseTrackerTotal">'Expense Tracker'!$F$156</definedName>
    <definedName name="_xlnm.Print_Titles" localSheetId="0">'Read Me'!$1:$1</definedName>
    <definedName name="_xlnm._FilterDatabase" localSheetId="1" hidden="1">'Settings'!$A$3:$C$7</definedName>
    <definedName name="_xlnm.Print_Titles" localSheetId="1">'Settings'!$1:$3</definedName>
    <definedName name="_xlnm._FilterDatabase" localSheetId="2" hidden="1">'Mileage Log'!$A$4:$I$204</definedName>
    <definedName name="_xlnm.Print_Titles" localSheetId="2">'Mileage Log'!$1:$4</definedName>
    <definedName name="_xlnm._FilterDatabase" localSheetId="3" hidden="1">'Weekly Earnings'!$A$4:$L$108</definedName>
    <definedName name="_xlnm.Print_Titles" localSheetId="3">'Weekly Earnings'!$1:$4</definedName>
    <definedName name="_xlnm._FilterDatabase" localSheetId="4" hidden="1">'Expense Tracker'!$A$4:$F$154</definedName>
    <definedName name="_xlnm.Print_Titles" localSheetId="4">'Expense Tracker'!$1:$4</definedName>
    <definedName name="_xlnm.Print_Titles" localSheetId="5">'Quarterly Tax'!$1:$2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&quot;$&quot;#,##0.000"/>
    <numFmt numFmtId="165" formatCode="&quot;$&quot;#,##0"/>
    <numFmt numFmtId="166" formatCode="YYYY-MM-DD"/>
    <numFmt numFmtId="167" formatCode="#,##0.0"/>
    <numFmt numFmtId="168" formatCode="&quot;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0F2A43"/>
      <sz val="16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4A46B"/>
      <sz val="12"/>
    </font>
    <font>
      <name val="Calibri"/>
      <color rgb="004A5568"/>
      <sz val="10"/>
    </font>
    <font>
      <name val="Calibri"/>
      <i val="1"/>
      <sz val="10"/>
    </font>
    <font>
      <name val="Calibri"/>
      <b val="1"/>
    </font>
    <font>
      <name val="Calibri"/>
      <b val="1"/>
      <color rgb="0014A46B"/>
      <sz val="14"/>
    </font>
    <font>
      <name val="Calibri"/>
      <b val="1"/>
      <color rgb="00FFFFFF"/>
    </font>
    <font>
      <name val="Calibri"/>
      <b val="1"/>
      <color rgb="0014A46B"/>
    </font>
    <font>
      <name val="Calibri"/>
      <b val="1"/>
      <color rgb="0014A46B"/>
      <sz val="13"/>
    </font>
    <font>
      <name val="Calibri"/>
      <b val="1"/>
      <color rgb="000F2A43"/>
      <sz val="13"/>
    </font>
  </fonts>
  <fills count="5">
    <fill>
      <patternFill/>
    </fill>
    <fill>
      <patternFill patternType="gray125"/>
    </fill>
    <fill>
      <patternFill patternType="solid">
        <fgColor rgb="000F2A43"/>
      </patternFill>
    </fill>
    <fill>
      <patternFill patternType="solid">
        <fgColor rgb="00E8F8F1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10" fontId="5" fillId="3" borderId="1" pivotButton="0" quotePrefix="0" xfId="0"/>
    <xf numFmtId="165" fontId="5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4" fontId="9" fillId="0" borderId="0" pivotButton="0" quotePrefix="0" xfId="0"/>
    <xf numFmtId="168" fontId="9" fillId="0" borderId="0" pivotButton="0" quotePrefix="0" xfId="0"/>
    <xf numFmtId="166" fontId="0" fillId="3" borderId="1" pivotButton="0" quotePrefix="0" xfId="0"/>
    <xf numFmtId="0" fontId="0" fillId="3" borderId="1" pivotButton="0" quotePrefix="0" xfId="0"/>
    <xf numFmtId="167" fontId="0" fillId="3" borderId="1" pivotButton="0" quotePrefix="0" xfId="0"/>
    <xf numFmtId="4" fontId="0" fillId="0" borderId="1" pivotButton="0" quotePrefix="0" xfId="0"/>
    <xf numFmtId="164" fontId="0" fillId="0" borderId="1" pivotButton="0" quotePrefix="0" xfId="0"/>
    <xf numFmtId="168" fontId="0" fillId="0" borderId="1" pivotButton="0" quotePrefix="0" xfId="0"/>
    <xf numFmtId="168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10" fillId="2" borderId="0" pivotButton="0" quotePrefix="0" xfId="0"/>
    <xf numFmtId="168" fontId="8" fillId="4" borderId="0" pivotButton="0" quotePrefix="0" xfId="0"/>
    <xf numFmtId="4" fontId="8" fillId="4" borderId="0" pivotButton="0" quotePrefix="0" xfId="0"/>
    <xf numFmtId="2" fontId="8" fillId="4" borderId="0" pivotButton="0" quotePrefix="0" xfId="0"/>
    <xf numFmtId="168" fontId="8" fillId="0" borderId="0" pivotButton="0" quotePrefix="0" xfId="0"/>
    <xf numFmtId="10" fontId="0" fillId="3" borderId="1" pivotButton="0" quotePrefix="0" xfId="0"/>
    <xf numFmtId="0" fontId="11" fillId="3" borderId="1" pivotButton="0" quotePrefix="0" xfId="0"/>
    <xf numFmtId="0" fontId="0" fillId="0" borderId="0" applyAlignment="1" pivotButton="0" quotePrefix="0" xfId="0">
      <alignment vertical="center" wrapText="1"/>
    </xf>
    <xf numFmtId="168" fontId="12" fillId="0" borderId="1" pivotButton="0" quotePrefix="0" xfId="0"/>
    <xf numFmtId="0" fontId="0" fillId="0" borderId="1" pivotButton="0" quotePrefix="0" xfId="0"/>
    <xf numFmtId="0" fontId="1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A46B"/>
    <outlinePr summaryBelow="1" summaryRight="1"/>
    <pageSetUpPr fitToPage="1"/>
  </sheetPr>
  <dimension ref="A1:B18"/>
  <sheetViews>
    <sheetView showGridLines="0" view="normal" zoomScale="120" workbookViewId="0">
      <selection activeCell="A1" sqref="A1"/>
    </sheetView>
  </sheetViews>
  <sheetFormatPr baseColWidth="8" defaultRowHeight="15"/>
  <cols>
    <col width="120" customWidth="1" min="1" max="1"/>
    <col width="20" customWidth="1" min="2" max="2"/>
  </cols>
  <sheetData>
    <row r="1" ht="24" customHeight="1">
      <c r="A1" s="1" t="inlineStr">
        <is>
          <t>GigMath Pro Kit</t>
        </is>
      </c>
    </row>
    <row r="3" ht="32" customHeight="1">
      <c r="A3" s="2" t="inlineStr">
        <is>
          <t>Educational spreadsheet for a US gig driver or 1099 freelancer. Not tax, legal, or financial advice.</t>
        </is>
      </c>
    </row>
    <row r="4" ht="32" customHeight="1">
      <c r="A4" s="2" t="inlineStr">
        <is>
          <t>IRS business standard mileage rate for 2026, from irs.gov/tax-professionals/standard-mileage-rates:</t>
        </is>
      </c>
    </row>
    <row r="5" ht="32" customHeight="1">
      <c r="A5" s="2" t="inlineStr">
        <is>
          <t>72.5 cents per mile for January 1 through June 30, 2026 (Notice 2026-10).</t>
        </is>
      </c>
    </row>
    <row r="6" ht="32" customHeight="1">
      <c r="A6" s="2" t="inlineStr">
        <is>
          <t>76 cents per mile for July 1 through December 31, 2026 (Announcement 2026-11).</t>
        </is>
      </c>
    </row>
    <row r="7" ht="32" customHeight="1">
      <c r="A7" s="2" t="inlineStr">
        <is>
          <t>Change the two rate cells on Settings if the IRS revises them. Do not treat those rates as cash the app paid you.</t>
        </is>
      </c>
    </row>
    <row r="8" ht="32" customHeight="1">
      <c r="A8" s="2" t="inlineStr">
        <is>
          <t>Standard mileage replaces gas, oil, insurance, registration, repairs, lease payments, and depreciation. Do not also deduct those.</t>
        </is>
      </c>
    </row>
    <row r="9" ht="32" customHeight="1">
      <c r="A9" s="2" t="inlineStr">
        <is>
          <t>Business parking, tolls, and the business percentage of car-loan interest can be separate. See IRS Publication 463.</t>
        </is>
      </c>
    </row>
    <row r="10" ht="32" customHeight="1">
      <c r="A10" s="2" t="inlineStr">
        <is>
          <t>Commuting is not a business mile. Publication 463 treats the trip from home to the first stop, and from the last stop home, as commuting unless a listed exception applies.</t>
        </is>
      </c>
    </row>
    <row r="11" ht="32" customHeight="1">
      <c r="A11" s="2" t="inlineStr">
        <is>
          <t>Self-employment tax follows Schedule SE: profit × 92.35%. If that result is under $400, the sheet shows no self-employment tax. Social Security is 12.4% up to the 2026 $184,500 wage base. Medicare is 2.9% with no cap.</t>
        </is>
      </c>
    </row>
    <row r="12" ht="32" customHeight="1">
      <c r="A12" s="2" t="inlineStr">
        <is>
          <t>Half of self-employment tax is subtracted before the income-tax estimate. Additional Medicare Tax (Form 8959) and the qualified business income deduction are not calculated.</t>
        </is>
      </c>
    </row>
    <row r="13" ht="32" customHeight="1">
      <c r="A13" s="2" t="inlineStr">
        <is>
          <t>The income-tax rate cell is yours. GigMath does not supply an official rate.</t>
        </is>
      </c>
    </row>
    <row r="14" ht="32" customHeight="1">
      <c r="A14" s="2" t="inlineStr">
        <is>
          <t>Weekly Earnings tracks cash and a mileage-deduction estimate. Do not subtract the mileage rate from cash left.</t>
        </is>
      </c>
    </row>
    <row r="15" ht="32" customHeight="1">
      <c r="A15" s="2" t="inlineStr">
        <is>
          <t>If you log fuel on Weekly Earnings, do not log the same fuel again on Expense Tracker.</t>
        </is>
      </c>
    </row>
    <row r="16" ht="32" customHeight="1">
      <c r="A16" s="2" t="inlineStr">
        <is>
          <t>Quarterly Tax uses the standard-mileage profit (pay + tips − fees − mileage deduction − other deductible expenses) or the actual-cost profit, based on the method you pick. Equal quarterly amounts are a simplification, not Publication 505 annualization.</t>
        </is>
      </c>
    </row>
    <row r="17" ht="32" customHeight="1">
      <c r="A17" s="2" t="inlineStr">
        <is>
          <t>2026 Form 1040-ES dates: April 15, 2026; June 15, 2026; September 15, 2026; January 15, 2027.</t>
        </is>
      </c>
    </row>
    <row r="18" ht="32" customHeight="1">
      <c r="A18" s="2" t="inlineStr">
        <is>
          <t>This workbook is the Pro Kit product. It is not a public download.</t>
        </is>
      </c>
    </row>
  </sheetData>
  <mergeCells count="17">
    <mergeCell ref="A4:B4"/>
    <mergeCell ref="A16:B16"/>
    <mergeCell ref="A15:B15"/>
    <mergeCell ref="A7:B7"/>
    <mergeCell ref="A11:B11"/>
    <mergeCell ref="A10:B10"/>
    <mergeCell ref="A5:B5"/>
    <mergeCell ref="A13:B13"/>
    <mergeCell ref="A14:B14"/>
    <mergeCell ref="A1:B1"/>
    <mergeCell ref="A17:B17"/>
    <mergeCell ref="A9:B9"/>
    <mergeCell ref="A18:B18"/>
    <mergeCell ref="A8:B8"/>
    <mergeCell ref="A3:B3"/>
    <mergeCell ref="A6:B6"/>
    <mergeCell ref="A12:B12"/>
  </mergeCells>
  <printOptions horizontalCentered="1"/>
  <pageMargins left="0.5" right="0.5" top="0.75" bottom="0.75" header="0.5" footer="0.5"/>
  <pageSetup orientation="landscape" paperSize="3" fitToHeight="1" fitToWidth="1"/>
  <headerFooter>
    <oddHeader>&amp;LGigMath Pro Kit</oddHeader>
    <oddFooter>&amp;LNot tax advice. Confirm figures at IRS.gov.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4A46B"/>
    <outlinePr summaryBelow="1" summaryRight="1"/>
    <pageSetUpPr fitToPage="1"/>
  </sheetPr>
  <dimension ref="A1:C9"/>
  <sheetViews>
    <sheetView view="normal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78" customWidth="1" min="3" max="3"/>
  </cols>
  <sheetData>
    <row r="1">
      <c r="A1" s="1" t="inlineStr">
        <is>
          <t>Settings you can edit</t>
        </is>
      </c>
    </row>
    <row r="3" ht="22" customHeight="1">
      <c r="A3" s="3" t="inlineStr">
        <is>
          <t>Setting</t>
        </is>
      </c>
      <c r="B3" s="3" t="inlineStr">
        <is>
          <t>Value</t>
        </is>
      </c>
      <c r="C3" s="3" t="inlineStr">
        <is>
          <t>Source or instruction</t>
        </is>
      </c>
    </row>
    <row r="4">
      <c r="A4" s="4" t="inlineStr">
        <is>
          <t>Business mileage rate, Jan 1–Jun 30, 2026</t>
        </is>
      </c>
      <c r="B4" s="5" t="n">
        <v>0.725</v>
      </c>
      <c r="C4" s="6" t="inlineStr">
        <is>
          <t>IRS Notice 2026-10. Edit only if the IRS changes it.</t>
        </is>
      </c>
    </row>
    <row r="5">
      <c r="A5" s="4" t="inlineStr">
        <is>
          <t>Business mileage rate, Jul 1–Dec 31, 2026</t>
        </is>
      </c>
      <c r="B5" s="5" t="n">
        <v>0.76</v>
      </c>
      <c r="C5" s="6" t="inlineStr">
        <is>
          <t>IRS Announcement 2026-11. Edit only if the IRS changes it.</t>
        </is>
      </c>
    </row>
    <row r="6">
      <c r="A6" s="4" t="inlineStr">
        <is>
          <t>Your estimated federal income-tax rate</t>
        </is>
      </c>
      <c r="B6" s="7" t="n"/>
      <c r="C6" s="6" t="inlineStr">
        <is>
          <t>Type a decimal such as 0.12 or 0.22. Leave blank to estimate self-employment tax only.</t>
        </is>
      </c>
    </row>
    <row r="7">
      <c r="A7" s="4" t="inlineStr">
        <is>
          <t>2026 Social Security wage base</t>
        </is>
      </c>
      <c r="B7" s="8" t="n">
        <v>184500</v>
      </c>
      <c r="C7" s="6" t="inlineStr">
        <is>
          <t>Printed on 2026 Schedule SE. Edit only if the IRS figure differs.</t>
        </is>
      </c>
    </row>
    <row r="9">
      <c r="A9" s="9" t="inlineStr">
        <is>
          <t>Green cells are inputs. Other sheets read them. Do not type over formulas on the log sheets.</t>
        </is>
      </c>
    </row>
  </sheetData>
  <autoFilter ref="A3:C7"/>
  <mergeCells count="2">
    <mergeCell ref="A1:C1"/>
    <mergeCell ref="A9:C9"/>
  </mergeCells>
  <printOptions horizontalCentered="1"/>
  <pageMargins left="0.5" right="0.5" top="0.75" bottom="0.75" header="0.5" footer="0.5"/>
  <pageSetup orientation="landscape" paperSize="3" fitToHeight="1" fitToWidth="1"/>
  <headerFooter>
    <oddHeader>&amp;LGigMath Pro Kit — Settings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4A46B"/>
    <outlinePr summaryBelow="1" summaryRight="1"/>
    <pageSetUpPr fitToPage="1"/>
  </sheetPr>
  <dimension ref="A1:L204"/>
  <sheetViews>
    <sheetView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2" customWidth="1" min="5" max="5"/>
    <col width="28" customWidth="1" min="6" max="6"/>
    <col width="36" customWidth="1" min="7" max="7"/>
    <col width="12" customWidth="1" min="8" max="8"/>
    <col width="14" customWidth="1" min="9" max="9"/>
    <col width="3" customWidth="1" min="10" max="10"/>
    <col width="36" customWidth="1" min="11" max="11"/>
    <col width="16" customWidth="1" min="12" max="12"/>
  </cols>
  <sheetData>
    <row r="1">
      <c r="A1" s="1" t="inlineStr">
        <is>
          <t>Mileage log</t>
        </is>
      </c>
    </row>
    <row r="2" ht="32" customHeight="1">
      <c r="A2" s="2" t="inlineStr">
        <is>
          <t>Enter the date, odometer readings, destination, and business purpose. Miles and the deduction calculate themselves. Leave commuting trips off this sheet. The rate switches on July 1, 2026 using Settings.</t>
        </is>
      </c>
    </row>
    <row r="3">
      <c r="K3" s="10" t="inlineStr">
        <is>
          <t>Total business miles</t>
        </is>
      </c>
      <c r="L3" s="11">
        <f>SUM(E5:E204)</f>
        <v/>
      </c>
    </row>
    <row r="4">
      <c r="A4" s="3" t="inlineStr">
        <is>
          <t>Date</t>
        </is>
      </c>
      <c r="B4" s="3" t="inlineStr">
        <is>
          <t>Platform</t>
        </is>
      </c>
      <c r="C4" s="3" t="inlineStr">
        <is>
          <t>Start odometer</t>
        </is>
      </c>
      <c r="D4" s="3" t="inlineStr">
        <is>
          <t>End odometer</t>
        </is>
      </c>
      <c r="E4" s="3" t="inlineStr">
        <is>
          <t>Miles</t>
        </is>
      </c>
      <c r="F4" s="3" t="inlineStr">
        <is>
          <t>Destination</t>
        </is>
      </c>
      <c r="G4" s="3" t="inlineStr">
        <is>
          <t>Business purpose</t>
        </is>
      </c>
      <c r="H4" s="3" t="inlineStr">
        <is>
          <t>IRS rate</t>
        </is>
      </c>
      <c r="I4" s="3" t="inlineStr">
        <is>
          <t>Deduction</t>
        </is>
      </c>
      <c r="K4" s="10" t="inlineStr">
        <is>
          <t>Total standard-mileage deduction</t>
        </is>
      </c>
      <c r="L4" s="12">
        <f>SUM(I5:I204)</f>
        <v/>
      </c>
    </row>
    <row r="5">
      <c r="A5" s="13" t="n"/>
      <c r="B5" s="14" t="n"/>
      <c r="C5" s="15" t="n"/>
      <c r="D5" s="15" t="n"/>
      <c r="E5" s="16">
        <f>IF(OR(C5="",D5=""),"",D5-C5)</f>
        <v/>
      </c>
      <c r="F5" s="14" t="n"/>
      <c r="G5" s="14" t="n"/>
      <c r="H5" s="17">
        <f>IF(A5="","",IF(A5&lt;DATE(2026,7,1),Settings!$B$4,Settings!$B$5))</f>
        <v/>
      </c>
      <c r="I5" s="18">
        <f>IF(OR(E5="",H5=""),"",E5*H5)</f>
        <v/>
      </c>
    </row>
    <row r="6">
      <c r="A6" s="13" t="n"/>
      <c r="B6" s="14" t="n"/>
      <c r="C6" s="15" t="n"/>
      <c r="D6" s="15" t="n"/>
      <c r="E6" s="16">
        <f>IF(OR(C6="",D6=""),"",D6-C6)</f>
        <v/>
      </c>
      <c r="F6" s="14" t="n"/>
      <c r="G6" s="14" t="n"/>
      <c r="H6" s="17">
        <f>IF(A6="","",IF(A6&lt;DATE(2026,7,1),Settings!$B$4,Settings!$B$5))</f>
        <v/>
      </c>
      <c r="I6" s="18">
        <f>IF(OR(E6="",H6=""),"",E6*H6)</f>
        <v/>
      </c>
    </row>
    <row r="7">
      <c r="A7" s="13" t="n"/>
      <c r="B7" s="14" t="n"/>
      <c r="C7" s="15" t="n"/>
      <c r="D7" s="15" t="n"/>
      <c r="E7" s="16">
        <f>IF(OR(C7="",D7=""),"",D7-C7)</f>
        <v/>
      </c>
      <c r="F7" s="14" t="n"/>
      <c r="G7" s="14" t="n"/>
      <c r="H7" s="17">
        <f>IF(A7="","",IF(A7&lt;DATE(2026,7,1),Settings!$B$4,Settings!$B$5))</f>
        <v/>
      </c>
      <c r="I7" s="18">
        <f>IF(OR(E7="",H7=""),"",E7*H7)</f>
        <v/>
      </c>
    </row>
    <row r="8">
      <c r="A8" s="13" t="n"/>
      <c r="B8" s="14" t="n"/>
      <c r="C8" s="15" t="n"/>
      <c r="D8" s="15" t="n"/>
      <c r="E8" s="16">
        <f>IF(OR(C8="",D8=""),"",D8-C8)</f>
        <v/>
      </c>
      <c r="F8" s="14" t="n"/>
      <c r="G8" s="14" t="n"/>
      <c r="H8" s="17">
        <f>IF(A8="","",IF(A8&lt;DATE(2026,7,1),Settings!$B$4,Settings!$B$5))</f>
        <v/>
      </c>
      <c r="I8" s="18">
        <f>IF(OR(E8="",H8=""),"",E8*H8)</f>
        <v/>
      </c>
    </row>
    <row r="9">
      <c r="A9" s="13" t="n"/>
      <c r="B9" s="14" t="n"/>
      <c r="C9" s="15" t="n"/>
      <c r="D9" s="15" t="n"/>
      <c r="E9" s="16">
        <f>IF(OR(C9="",D9=""),"",D9-C9)</f>
        <v/>
      </c>
      <c r="F9" s="14" t="n"/>
      <c r="G9" s="14" t="n"/>
      <c r="H9" s="17">
        <f>IF(A9="","",IF(A9&lt;DATE(2026,7,1),Settings!$B$4,Settings!$B$5))</f>
        <v/>
      </c>
      <c r="I9" s="18">
        <f>IF(OR(E9="",H9=""),"",E9*H9)</f>
        <v/>
      </c>
    </row>
    <row r="10">
      <c r="A10" s="13" t="n"/>
      <c r="B10" s="14" t="n"/>
      <c r="C10" s="15" t="n"/>
      <c r="D10" s="15" t="n"/>
      <c r="E10" s="16">
        <f>IF(OR(C10="",D10=""),"",D10-C10)</f>
        <v/>
      </c>
      <c r="F10" s="14" t="n"/>
      <c r="G10" s="14" t="n"/>
      <c r="H10" s="17">
        <f>IF(A10="","",IF(A10&lt;DATE(2026,7,1),Settings!$B$4,Settings!$B$5))</f>
        <v/>
      </c>
      <c r="I10" s="18">
        <f>IF(OR(E10="",H10=""),"",E10*H10)</f>
        <v/>
      </c>
    </row>
    <row r="11">
      <c r="A11" s="13" t="n"/>
      <c r="B11" s="14" t="n"/>
      <c r="C11" s="15" t="n"/>
      <c r="D11" s="15" t="n"/>
      <c r="E11" s="16">
        <f>IF(OR(C11="",D11=""),"",D11-C11)</f>
        <v/>
      </c>
      <c r="F11" s="14" t="n"/>
      <c r="G11" s="14" t="n"/>
      <c r="H11" s="17">
        <f>IF(A11="","",IF(A11&lt;DATE(2026,7,1),Settings!$B$4,Settings!$B$5))</f>
        <v/>
      </c>
      <c r="I11" s="18">
        <f>IF(OR(E11="",H11=""),"",E11*H11)</f>
        <v/>
      </c>
    </row>
    <row r="12">
      <c r="A12" s="13" t="n"/>
      <c r="B12" s="14" t="n"/>
      <c r="C12" s="15" t="n"/>
      <c r="D12" s="15" t="n"/>
      <c r="E12" s="16">
        <f>IF(OR(C12="",D12=""),"",D12-C12)</f>
        <v/>
      </c>
      <c r="F12" s="14" t="n"/>
      <c r="G12" s="14" t="n"/>
      <c r="H12" s="17">
        <f>IF(A12="","",IF(A12&lt;DATE(2026,7,1),Settings!$B$4,Settings!$B$5))</f>
        <v/>
      </c>
      <c r="I12" s="18">
        <f>IF(OR(E12="",H12=""),"",E12*H12)</f>
        <v/>
      </c>
    </row>
    <row r="13">
      <c r="A13" s="13" t="n"/>
      <c r="B13" s="14" t="n"/>
      <c r="C13" s="15" t="n"/>
      <c r="D13" s="15" t="n"/>
      <c r="E13" s="16">
        <f>IF(OR(C13="",D13=""),"",D13-C13)</f>
        <v/>
      </c>
      <c r="F13" s="14" t="n"/>
      <c r="G13" s="14" t="n"/>
      <c r="H13" s="17">
        <f>IF(A13="","",IF(A13&lt;DATE(2026,7,1),Settings!$B$4,Settings!$B$5))</f>
        <v/>
      </c>
      <c r="I13" s="18">
        <f>IF(OR(E13="",H13=""),"",E13*H13)</f>
        <v/>
      </c>
    </row>
    <row r="14">
      <c r="A14" s="13" t="n"/>
      <c r="B14" s="14" t="n"/>
      <c r="C14" s="15" t="n"/>
      <c r="D14" s="15" t="n"/>
      <c r="E14" s="16">
        <f>IF(OR(C14="",D14=""),"",D14-C14)</f>
        <v/>
      </c>
      <c r="F14" s="14" t="n"/>
      <c r="G14" s="14" t="n"/>
      <c r="H14" s="17">
        <f>IF(A14="","",IF(A14&lt;DATE(2026,7,1),Settings!$B$4,Settings!$B$5))</f>
        <v/>
      </c>
      <c r="I14" s="18">
        <f>IF(OR(E14="",H14=""),"",E14*H14)</f>
        <v/>
      </c>
    </row>
    <row r="15">
      <c r="A15" s="13" t="n"/>
      <c r="B15" s="14" t="n"/>
      <c r="C15" s="15" t="n"/>
      <c r="D15" s="15" t="n"/>
      <c r="E15" s="16">
        <f>IF(OR(C15="",D15=""),"",D15-C15)</f>
        <v/>
      </c>
      <c r="F15" s="14" t="n"/>
      <c r="G15" s="14" t="n"/>
      <c r="H15" s="17">
        <f>IF(A15="","",IF(A15&lt;DATE(2026,7,1),Settings!$B$4,Settings!$B$5))</f>
        <v/>
      </c>
      <c r="I15" s="18">
        <f>IF(OR(E15="",H15=""),"",E15*H15)</f>
        <v/>
      </c>
    </row>
    <row r="16">
      <c r="A16" s="13" t="n"/>
      <c r="B16" s="14" t="n"/>
      <c r="C16" s="15" t="n"/>
      <c r="D16" s="15" t="n"/>
      <c r="E16" s="16">
        <f>IF(OR(C16="",D16=""),"",D16-C16)</f>
        <v/>
      </c>
      <c r="F16" s="14" t="n"/>
      <c r="G16" s="14" t="n"/>
      <c r="H16" s="17">
        <f>IF(A16="","",IF(A16&lt;DATE(2026,7,1),Settings!$B$4,Settings!$B$5))</f>
        <v/>
      </c>
      <c r="I16" s="18">
        <f>IF(OR(E16="",H16=""),"",E16*H16)</f>
        <v/>
      </c>
    </row>
    <row r="17">
      <c r="A17" s="13" t="n"/>
      <c r="B17" s="14" t="n"/>
      <c r="C17" s="15" t="n"/>
      <c r="D17" s="15" t="n"/>
      <c r="E17" s="16">
        <f>IF(OR(C17="",D17=""),"",D17-C17)</f>
        <v/>
      </c>
      <c r="F17" s="14" t="n"/>
      <c r="G17" s="14" t="n"/>
      <c r="H17" s="17">
        <f>IF(A17="","",IF(A17&lt;DATE(2026,7,1),Settings!$B$4,Settings!$B$5))</f>
        <v/>
      </c>
      <c r="I17" s="18">
        <f>IF(OR(E17="",H17=""),"",E17*H17)</f>
        <v/>
      </c>
    </row>
    <row r="18">
      <c r="A18" s="13" t="n"/>
      <c r="B18" s="14" t="n"/>
      <c r="C18" s="15" t="n"/>
      <c r="D18" s="15" t="n"/>
      <c r="E18" s="16">
        <f>IF(OR(C18="",D18=""),"",D18-C18)</f>
        <v/>
      </c>
      <c r="F18" s="14" t="n"/>
      <c r="G18" s="14" t="n"/>
      <c r="H18" s="17">
        <f>IF(A18="","",IF(A18&lt;DATE(2026,7,1),Settings!$B$4,Settings!$B$5))</f>
        <v/>
      </c>
      <c r="I18" s="18">
        <f>IF(OR(E18="",H18=""),"",E18*H18)</f>
        <v/>
      </c>
    </row>
    <row r="19">
      <c r="A19" s="13" t="n"/>
      <c r="B19" s="14" t="n"/>
      <c r="C19" s="15" t="n"/>
      <c r="D19" s="15" t="n"/>
      <c r="E19" s="16">
        <f>IF(OR(C19="",D19=""),"",D19-C19)</f>
        <v/>
      </c>
      <c r="F19" s="14" t="n"/>
      <c r="G19" s="14" t="n"/>
      <c r="H19" s="17">
        <f>IF(A19="","",IF(A19&lt;DATE(2026,7,1),Settings!$B$4,Settings!$B$5))</f>
        <v/>
      </c>
      <c r="I19" s="18">
        <f>IF(OR(E19="",H19=""),"",E19*H19)</f>
        <v/>
      </c>
    </row>
    <row r="20">
      <c r="A20" s="13" t="n"/>
      <c r="B20" s="14" t="n"/>
      <c r="C20" s="15" t="n"/>
      <c r="D20" s="15" t="n"/>
      <c r="E20" s="16">
        <f>IF(OR(C20="",D20=""),"",D20-C20)</f>
        <v/>
      </c>
      <c r="F20" s="14" t="n"/>
      <c r="G20" s="14" t="n"/>
      <c r="H20" s="17">
        <f>IF(A20="","",IF(A20&lt;DATE(2026,7,1),Settings!$B$4,Settings!$B$5))</f>
        <v/>
      </c>
      <c r="I20" s="18">
        <f>IF(OR(E20="",H20=""),"",E20*H20)</f>
        <v/>
      </c>
    </row>
    <row r="21">
      <c r="A21" s="13" t="n"/>
      <c r="B21" s="14" t="n"/>
      <c r="C21" s="15" t="n"/>
      <c r="D21" s="15" t="n"/>
      <c r="E21" s="16">
        <f>IF(OR(C21="",D21=""),"",D21-C21)</f>
        <v/>
      </c>
      <c r="F21" s="14" t="n"/>
      <c r="G21" s="14" t="n"/>
      <c r="H21" s="17">
        <f>IF(A21="","",IF(A21&lt;DATE(2026,7,1),Settings!$B$4,Settings!$B$5))</f>
        <v/>
      </c>
      <c r="I21" s="18">
        <f>IF(OR(E21="",H21=""),"",E21*H21)</f>
        <v/>
      </c>
    </row>
    <row r="22">
      <c r="A22" s="13" t="n"/>
      <c r="B22" s="14" t="n"/>
      <c r="C22" s="15" t="n"/>
      <c r="D22" s="15" t="n"/>
      <c r="E22" s="16">
        <f>IF(OR(C22="",D22=""),"",D22-C22)</f>
        <v/>
      </c>
      <c r="F22" s="14" t="n"/>
      <c r="G22" s="14" t="n"/>
      <c r="H22" s="17">
        <f>IF(A22="","",IF(A22&lt;DATE(2026,7,1),Settings!$B$4,Settings!$B$5))</f>
        <v/>
      </c>
      <c r="I22" s="18">
        <f>IF(OR(E22="",H22=""),"",E22*H22)</f>
        <v/>
      </c>
    </row>
    <row r="23">
      <c r="A23" s="13" t="n"/>
      <c r="B23" s="14" t="n"/>
      <c r="C23" s="15" t="n"/>
      <c r="D23" s="15" t="n"/>
      <c r="E23" s="16">
        <f>IF(OR(C23="",D23=""),"",D23-C23)</f>
        <v/>
      </c>
      <c r="F23" s="14" t="n"/>
      <c r="G23" s="14" t="n"/>
      <c r="H23" s="17">
        <f>IF(A23="","",IF(A23&lt;DATE(2026,7,1),Settings!$B$4,Settings!$B$5))</f>
        <v/>
      </c>
      <c r="I23" s="18">
        <f>IF(OR(E23="",H23=""),"",E23*H23)</f>
        <v/>
      </c>
    </row>
    <row r="24">
      <c r="A24" s="13" t="n"/>
      <c r="B24" s="14" t="n"/>
      <c r="C24" s="15" t="n"/>
      <c r="D24" s="15" t="n"/>
      <c r="E24" s="16">
        <f>IF(OR(C24="",D24=""),"",D24-C24)</f>
        <v/>
      </c>
      <c r="F24" s="14" t="n"/>
      <c r="G24" s="14" t="n"/>
      <c r="H24" s="17">
        <f>IF(A24="","",IF(A24&lt;DATE(2026,7,1),Settings!$B$4,Settings!$B$5))</f>
        <v/>
      </c>
      <c r="I24" s="18">
        <f>IF(OR(E24="",H24=""),"",E24*H24)</f>
        <v/>
      </c>
    </row>
    <row r="25">
      <c r="A25" s="13" t="n"/>
      <c r="B25" s="14" t="n"/>
      <c r="C25" s="15" t="n"/>
      <c r="D25" s="15" t="n"/>
      <c r="E25" s="16">
        <f>IF(OR(C25="",D25=""),"",D25-C25)</f>
        <v/>
      </c>
      <c r="F25" s="14" t="n"/>
      <c r="G25" s="14" t="n"/>
      <c r="H25" s="17">
        <f>IF(A25="","",IF(A25&lt;DATE(2026,7,1),Settings!$B$4,Settings!$B$5))</f>
        <v/>
      </c>
      <c r="I25" s="18">
        <f>IF(OR(E25="",H25=""),"",E25*H25)</f>
        <v/>
      </c>
    </row>
    <row r="26">
      <c r="A26" s="13" t="n"/>
      <c r="B26" s="14" t="n"/>
      <c r="C26" s="15" t="n"/>
      <c r="D26" s="15" t="n"/>
      <c r="E26" s="16">
        <f>IF(OR(C26="",D26=""),"",D26-C26)</f>
        <v/>
      </c>
      <c r="F26" s="14" t="n"/>
      <c r="G26" s="14" t="n"/>
      <c r="H26" s="17">
        <f>IF(A26="","",IF(A26&lt;DATE(2026,7,1),Settings!$B$4,Settings!$B$5))</f>
        <v/>
      </c>
      <c r="I26" s="18">
        <f>IF(OR(E26="",H26=""),"",E26*H26)</f>
        <v/>
      </c>
    </row>
    <row r="27">
      <c r="A27" s="13" t="n"/>
      <c r="B27" s="14" t="n"/>
      <c r="C27" s="15" t="n"/>
      <c r="D27" s="15" t="n"/>
      <c r="E27" s="16">
        <f>IF(OR(C27="",D27=""),"",D27-C27)</f>
        <v/>
      </c>
      <c r="F27" s="14" t="n"/>
      <c r="G27" s="14" t="n"/>
      <c r="H27" s="17">
        <f>IF(A27="","",IF(A27&lt;DATE(2026,7,1),Settings!$B$4,Settings!$B$5))</f>
        <v/>
      </c>
      <c r="I27" s="18">
        <f>IF(OR(E27="",H27=""),"",E27*H27)</f>
        <v/>
      </c>
    </row>
    <row r="28">
      <c r="A28" s="13" t="n"/>
      <c r="B28" s="14" t="n"/>
      <c r="C28" s="15" t="n"/>
      <c r="D28" s="15" t="n"/>
      <c r="E28" s="16">
        <f>IF(OR(C28="",D28=""),"",D28-C28)</f>
        <v/>
      </c>
      <c r="F28" s="14" t="n"/>
      <c r="G28" s="14" t="n"/>
      <c r="H28" s="17">
        <f>IF(A28="","",IF(A28&lt;DATE(2026,7,1),Settings!$B$4,Settings!$B$5))</f>
        <v/>
      </c>
      <c r="I28" s="18">
        <f>IF(OR(E28="",H28=""),"",E28*H28)</f>
        <v/>
      </c>
    </row>
    <row r="29">
      <c r="A29" s="13" t="n"/>
      <c r="B29" s="14" t="n"/>
      <c r="C29" s="15" t="n"/>
      <c r="D29" s="15" t="n"/>
      <c r="E29" s="16">
        <f>IF(OR(C29="",D29=""),"",D29-C29)</f>
        <v/>
      </c>
      <c r="F29" s="14" t="n"/>
      <c r="G29" s="14" t="n"/>
      <c r="H29" s="17">
        <f>IF(A29="","",IF(A29&lt;DATE(2026,7,1),Settings!$B$4,Settings!$B$5))</f>
        <v/>
      </c>
      <c r="I29" s="18">
        <f>IF(OR(E29="",H29=""),"",E29*H29)</f>
        <v/>
      </c>
    </row>
    <row r="30">
      <c r="A30" s="13" t="n"/>
      <c r="B30" s="14" t="n"/>
      <c r="C30" s="15" t="n"/>
      <c r="D30" s="15" t="n"/>
      <c r="E30" s="16">
        <f>IF(OR(C30="",D30=""),"",D30-C30)</f>
        <v/>
      </c>
      <c r="F30" s="14" t="n"/>
      <c r="G30" s="14" t="n"/>
      <c r="H30" s="17">
        <f>IF(A30="","",IF(A30&lt;DATE(2026,7,1),Settings!$B$4,Settings!$B$5))</f>
        <v/>
      </c>
      <c r="I30" s="18">
        <f>IF(OR(E30="",H30=""),"",E30*H30)</f>
        <v/>
      </c>
    </row>
    <row r="31">
      <c r="A31" s="13" t="n"/>
      <c r="B31" s="14" t="n"/>
      <c r="C31" s="15" t="n"/>
      <c r="D31" s="15" t="n"/>
      <c r="E31" s="16">
        <f>IF(OR(C31="",D31=""),"",D31-C31)</f>
        <v/>
      </c>
      <c r="F31" s="14" t="n"/>
      <c r="G31" s="14" t="n"/>
      <c r="H31" s="17">
        <f>IF(A31="","",IF(A31&lt;DATE(2026,7,1),Settings!$B$4,Settings!$B$5))</f>
        <v/>
      </c>
      <c r="I31" s="18">
        <f>IF(OR(E31="",H31=""),"",E31*H31)</f>
        <v/>
      </c>
    </row>
    <row r="32">
      <c r="A32" s="13" t="n"/>
      <c r="B32" s="14" t="n"/>
      <c r="C32" s="15" t="n"/>
      <c r="D32" s="15" t="n"/>
      <c r="E32" s="16">
        <f>IF(OR(C32="",D32=""),"",D32-C32)</f>
        <v/>
      </c>
      <c r="F32" s="14" t="n"/>
      <c r="G32" s="14" t="n"/>
      <c r="H32" s="17">
        <f>IF(A32="","",IF(A32&lt;DATE(2026,7,1),Settings!$B$4,Settings!$B$5))</f>
        <v/>
      </c>
      <c r="I32" s="18">
        <f>IF(OR(E32="",H32=""),"",E32*H32)</f>
        <v/>
      </c>
    </row>
    <row r="33">
      <c r="A33" s="13" t="n"/>
      <c r="B33" s="14" t="n"/>
      <c r="C33" s="15" t="n"/>
      <c r="D33" s="15" t="n"/>
      <c r="E33" s="16">
        <f>IF(OR(C33="",D33=""),"",D33-C33)</f>
        <v/>
      </c>
      <c r="F33" s="14" t="n"/>
      <c r="G33" s="14" t="n"/>
      <c r="H33" s="17">
        <f>IF(A33="","",IF(A33&lt;DATE(2026,7,1),Settings!$B$4,Settings!$B$5))</f>
        <v/>
      </c>
      <c r="I33" s="18">
        <f>IF(OR(E33="",H33=""),"",E33*H33)</f>
        <v/>
      </c>
    </row>
    <row r="34">
      <c r="A34" s="13" t="n"/>
      <c r="B34" s="14" t="n"/>
      <c r="C34" s="15" t="n"/>
      <c r="D34" s="15" t="n"/>
      <c r="E34" s="16">
        <f>IF(OR(C34="",D34=""),"",D34-C34)</f>
        <v/>
      </c>
      <c r="F34" s="14" t="n"/>
      <c r="G34" s="14" t="n"/>
      <c r="H34" s="17">
        <f>IF(A34="","",IF(A34&lt;DATE(2026,7,1),Settings!$B$4,Settings!$B$5))</f>
        <v/>
      </c>
      <c r="I34" s="18">
        <f>IF(OR(E34="",H34=""),"",E34*H34)</f>
        <v/>
      </c>
    </row>
    <row r="35">
      <c r="A35" s="13" t="n"/>
      <c r="B35" s="14" t="n"/>
      <c r="C35" s="15" t="n"/>
      <c r="D35" s="15" t="n"/>
      <c r="E35" s="16">
        <f>IF(OR(C35="",D35=""),"",D35-C35)</f>
        <v/>
      </c>
      <c r="F35" s="14" t="n"/>
      <c r="G35" s="14" t="n"/>
      <c r="H35" s="17">
        <f>IF(A35="","",IF(A35&lt;DATE(2026,7,1),Settings!$B$4,Settings!$B$5))</f>
        <v/>
      </c>
      <c r="I35" s="18">
        <f>IF(OR(E35="",H35=""),"",E35*H35)</f>
        <v/>
      </c>
    </row>
    <row r="36">
      <c r="A36" s="13" t="n"/>
      <c r="B36" s="14" t="n"/>
      <c r="C36" s="15" t="n"/>
      <c r="D36" s="15" t="n"/>
      <c r="E36" s="16">
        <f>IF(OR(C36="",D36=""),"",D36-C36)</f>
        <v/>
      </c>
      <c r="F36" s="14" t="n"/>
      <c r="G36" s="14" t="n"/>
      <c r="H36" s="17">
        <f>IF(A36="","",IF(A36&lt;DATE(2026,7,1),Settings!$B$4,Settings!$B$5))</f>
        <v/>
      </c>
      <c r="I36" s="18">
        <f>IF(OR(E36="",H36=""),"",E36*H36)</f>
        <v/>
      </c>
    </row>
    <row r="37">
      <c r="A37" s="13" t="n"/>
      <c r="B37" s="14" t="n"/>
      <c r="C37" s="15" t="n"/>
      <c r="D37" s="15" t="n"/>
      <c r="E37" s="16">
        <f>IF(OR(C37="",D37=""),"",D37-C37)</f>
        <v/>
      </c>
      <c r="F37" s="14" t="n"/>
      <c r="G37" s="14" t="n"/>
      <c r="H37" s="17">
        <f>IF(A37="","",IF(A37&lt;DATE(2026,7,1),Settings!$B$4,Settings!$B$5))</f>
        <v/>
      </c>
      <c r="I37" s="18">
        <f>IF(OR(E37="",H37=""),"",E37*H37)</f>
        <v/>
      </c>
    </row>
    <row r="38">
      <c r="A38" s="13" t="n"/>
      <c r="B38" s="14" t="n"/>
      <c r="C38" s="15" t="n"/>
      <c r="D38" s="15" t="n"/>
      <c r="E38" s="16">
        <f>IF(OR(C38="",D38=""),"",D38-C38)</f>
        <v/>
      </c>
      <c r="F38" s="14" t="n"/>
      <c r="G38" s="14" t="n"/>
      <c r="H38" s="17">
        <f>IF(A38="","",IF(A38&lt;DATE(2026,7,1),Settings!$B$4,Settings!$B$5))</f>
        <v/>
      </c>
      <c r="I38" s="18">
        <f>IF(OR(E38="",H38=""),"",E38*H38)</f>
        <v/>
      </c>
    </row>
    <row r="39">
      <c r="A39" s="13" t="n"/>
      <c r="B39" s="14" t="n"/>
      <c r="C39" s="15" t="n"/>
      <c r="D39" s="15" t="n"/>
      <c r="E39" s="16">
        <f>IF(OR(C39="",D39=""),"",D39-C39)</f>
        <v/>
      </c>
      <c r="F39" s="14" t="n"/>
      <c r="G39" s="14" t="n"/>
      <c r="H39" s="17">
        <f>IF(A39="","",IF(A39&lt;DATE(2026,7,1),Settings!$B$4,Settings!$B$5))</f>
        <v/>
      </c>
      <c r="I39" s="18">
        <f>IF(OR(E39="",H39=""),"",E39*H39)</f>
        <v/>
      </c>
    </row>
    <row r="40">
      <c r="A40" s="13" t="n"/>
      <c r="B40" s="14" t="n"/>
      <c r="C40" s="15" t="n"/>
      <c r="D40" s="15" t="n"/>
      <c r="E40" s="16">
        <f>IF(OR(C40="",D40=""),"",D40-C40)</f>
        <v/>
      </c>
      <c r="F40" s="14" t="n"/>
      <c r="G40" s="14" t="n"/>
      <c r="H40" s="17">
        <f>IF(A40="","",IF(A40&lt;DATE(2026,7,1),Settings!$B$4,Settings!$B$5))</f>
        <v/>
      </c>
      <c r="I40" s="18">
        <f>IF(OR(E40="",H40=""),"",E40*H40)</f>
        <v/>
      </c>
    </row>
    <row r="41">
      <c r="A41" s="13" t="n"/>
      <c r="B41" s="14" t="n"/>
      <c r="C41" s="15" t="n"/>
      <c r="D41" s="15" t="n"/>
      <c r="E41" s="16">
        <f>IF(OR(C41="",D41=""),"",D41-C41)</f>
        <v/>
      </c>
      <c r="F41" s="14" t="n"/>
      <c r="G41" s="14" t="n"/>
      <c r="H41" s="17">
        <f>IF(A41="","",IF(A41&lt;DATE(2026,7,1),Settings!$B$4,Settings!$B$5))</f>
        <v/>
      </c>
      <c r="I41" s="18">
        <f>IF(OR(E41="",H41=""),"",E41*H41)</f>
        <v/>
      </c>
    </row>
    <row r="42">
      <c r="A42" s="13" t="n"/>
      <c r="B42" s="14" t="n"/>
      <c r="C42" s="15" t="n"/>
      <c r="D42" s="15" t="n"/>
      <c r="E42" s="16">
        <f>IF(OR(C42="",D42=""),"",D42-C42)</f>
        <v/>
      </c>
      <c r="F42" s="14" t="n"/>
      <c r="G42" s="14" t="n"/>
      <c r="H42" s="17">
        <f>IF(A42="","",IF(A42&lt;DATE(2026,7,1),Settings!$B$4,Settings!$B$5))</f>
        <v/>
      </c>
      <c r="I42" s="18">
        <f>IF(OR(E42="",H42=""),"",E42*H42)</f>
        <v/>
      </c>
    </row>
    <row r="43">
      <c r="A43" s="13" t="n"/>
      <c r="B43" s="14" t="n"/>
      <c r="C43" s="15" t="n"/>
      <c r="D43" s="15" t="n"/>
      <c r="E43" s="16">
        <f>IF(OR(C43="",D43=""),"",D43-C43)</f>
        <v/>
      </c>
      <c r="F43" s="14" t="n"/>
      <c r="G43" s="14" t="n"/>
      <c r="H43" s="17">
        <f>IF(A43="","",IF(A43&lt;DATE(2026,7,1),Settings!$B$4,Settings!$B$5))</f>
        <v/>
      </c>
      <c r="I43" s="18">
        <f>IF(OR(E43="",H43=""),"",E43*H43)</f>
        <v/>
      </c>
    </row>
    <row r="44">
      <c r="A44" s="13" t="n"/>
      <c r="B44" s="14" t="n"/>
      <c r="C44" s="15" t="n"/>
      <c r="D44" s="15" t="n"/>
      <c r="E44" s="16">
        <f>IF(OR(C44="",D44=""),"",D44-C44)</f>
        <v/>
      </c>
      <c r="F44" s="14" t="n"/>
      <c r="G44" s="14" t="n"/>
      <c r="H44" s="17">
        <f>IF(A44="","",IF(A44&lt;DATE(2026,7,1),Settings!$B$4,Settings!$B$5))</f>
        <v/>
      </c>
      <c r="I44" s="18">
        <f>IF(OR(E44="",H44=""),"",E44*H44)</f>
        <v/>
      </c>
    </row>
    <row r="45">
      <c r="A45" s="13" t="n"/>
      <c r="B45" s="14" t="n"/>
      <c r="C45" s="15" t="n"/>
      <c r="D45" s="15" t="n"/>
      <c r="E45" s="16">
        <f>IF(OR(C45="",D45=""),"",D45-C45)</f>
        <v/>
      </c>
      <c r="F45" s="14" t="n"/>
      <c r="G45" s="14" t="n"/>
      <c r="H45" s="17">
        <f>IF(A45="","",IF(A45&lt;DATE(2026,7,1),Settings!$B$4,Settings!$B$5))</f>
        <v/>
      </c>
      <c r="I45" s="18">
        <f>IF(OR(E45="",H45=""),"",E45*H45)</f>
        <v/>
      </c>
    </row>
    <row r="46">
      <c r="A46" s="13" t="n"/>
      <c r="B46" s="14" t="n"/>
      <c r="C46" s="15" t="n"/>
      <c r="D46" s="15" t="n"/>
      <c r="E46" s="16">
        <f>IF(OR(C46="",D46=""),"",D46-C46)</f>
        <v/>
      </c>
      <c r="F46" s="14" t="n"/>
      <c r="G46" s="14" t="n"/>
      <c r="H46" s="17">
        <f>IF(A46="","",IF(A46&lt;DATE(2026,7,1),Settings!$B$4,Settings!$B$5))</f>
        <v/>
      </c>
      <c r="I46" s="18">
        <f>IF(OR(E46="",H46=""),"",E46*H46)</f>
        <v/>
      </c>
    </row>
    <row r="47">
      <c r="A47" s="13" t="n"/>
      <c r="B47" s="14" t="n"/>
      <c r="C47" s="15" t="n"/>
      <c r="D47" s="15" t="n"/>
      <c r="E47" s="16">
        <f>IF(OR(C47="",D47=""),"",D47-C47)</f>
        <v/>
      </c>
      <c r="F47" s="14" t="n"/>
      <c r="G47" s="14" t="n"/>
      <c r="H47" s="17">
        <f>IF(A47="","",IF(A47&lt;DATE(2026,7,1),Settings!$B$4,Settings!$B$5))</f>
        <v/>
      </c>
      <c r="I47" s="18">
        <f>IF(OR(E47="",H47=""),"",E47*H47)</f>
        <v/>
      </c>
    </row>
    <row r="48">
      <c r="A48" s="13" t="n"/>
      <c r="B48" s="14" t="n"/>
      <c r="C48" s="15" t="n"/>
      <c r="D48" s="15" t="n"/>
      <c r="E48" s="16">
        <f>IF(OR(C48="",D48=""),"",D48-C48)</f>
        <v/>
      </c>
      <c r="F48" s="14" t="n"/>
      <c r="G48" s="14" t="n"/>
      <c r="H48" s="17">
        <f>IF(A48="","",IF(A48&lt;DATE(2026,7,1),Settings!$B$4,Settings!$B$5))</f>
        <v/>
      </c>
      <c r="I48" s="18">
        <f>IF(OR(E48="",H48=""),"",E48*H48)</f>
        <v/>
      </c>
    </row>
    <row r="49">
      <c r="A49" s="13" t="n"/>
      <c r="B49" s="14" t="n"/>
      <c r="C49" s="15" t="n"/>
      <c r="D49" s="15" t="n"/>
      <c r="E49" s="16">
        <f>IF(OR(C49="",D49=""),"",D49-C49)</f>
        <v/>
      </c>
      <c r="F49" s="14" t="n"/>
      <c r="G49" s="14" t="n"/>
      <c r="H49" s="17">
        <f>IF(A49="","",IF(A49&lt;DATE(2026,7,1),Settings!$B$4,Settings!$B$5))</f>
        <v/>
      </c>
      <c r="I49" s="18">
        <f>IF(OR(E49="",H49=""),"",E49*H49)</f>
        <v/>
      </c>
    </row>
    <row r="50">
      <c r="A50" s="13" t="n"/>
      <c r="B50" s="14" t="n"/>
      <c r="C50" s="15" t="n"/>
      <c r="D50" s="15" t="n"/>
      <c r="E50" s="16">
        <f>IF(OR(C50="",D50=""),"",D50-C50)</f>
        <v/>
      </c>
      <c r="F50" s="14" t="n"/>
      <c r="G50" s="14" t="n"/>
      <c r="H50" s="17">
        <f>IF(A50="","",IF(A50&lt;DATE(2026,7,1),Settings!$B$4,Settings!$B$5))</f>
        <v/>
      </c>
      <c r="I50" s="18">
        <f>IF(OR(E50="",H50=""),"",E50*H50)</f>
        <v/>
      </c>
    </row>
    <row r="51">
      <c r="A51" s="13" t="n"/>
      <c r="B51" s="14" t="n"/>
      <c r="C51" s="15" t="n"/>
      <c r="D51" s="15" t="n"/>
      <c r="E51" s="16">
        <f>IF(OR(C51="",D51=""),"",D51-C51)</f>
        <v/>
      </c>
      <c r="F51" s="14" t="n"/>
      <c r="G51" s="14" t="n"/>
      <c r="H51" s="17">
        <f>IF(A51="","",IF(A51&lt;DATE(2026,7,1),Settings!$B$4,Settings!$B$5))</f>
        <v/>
      </c>
      <c r="I51" s="18">
        <f>IF(OR(E51="",H51=""),"",E51*H51)</f>
        <v/>
      </c>
    </row>
    <row r="52">
      <c r="A52" s="13" t="n"/>
      <c r="B52" s="14" t="n"/>
      <c r="C52" s="15" t="n"/>
      <c r="D52" s="15" t="n"/>
      <c r="E52" s="16">
        <f>IF(OR(C52="",D52=""),"",D52-C52)</f>
        <v/>
      </c>
      <c r="F52" s="14" t="n"/>
      <c r="G52" s="14" t="n"/>
      <c r="H52" s="17">
        <f>IF(A52="","",IF(A52&lt;DATE(2026,7,1),Settings!$B$4,Settings!$B$5))</f>
        <v/>
      </c>
      <c r="I52" s="18">
        <f>IF(OR(E52="",H52=""),"",E52*H52)</f>
        <v/>
      </c>
    </row>
    <row r="53">
      <c r="A53" s="13" t="n"/>
      <c r="B53" s="14" t="n"/>
      <c r="C53" s="15" t="n"/>
      <c r="D53" s="15" t="n"/>
      <c r="E53" s="16">
        <f>IF(OR(C53="",D53=""),"",D53-C53)</f>
        <v/>
      </c>
      <c r="F53" s="14" t="n"/>
      <c r="G53" s="14" t="n"/>
      <c r="H53" s="17">
        <f>IF(A53="","",IF(A53&lt;DATE(2026,7,1),Settings!$B$4,Settings!$B$5))</f>
        <v/>
      </c>
      <c r="I53" s="18">
        <f>IF(OR(E53="",H53=""),"",E53*H53)</f>
        <v/>
      </c>
    </row>
    <row r="54">
      <c r="A54" s="13" t="n"/>
      <c r="B54" s="14" t="n"/>
      <c r="C54" s="15" t="n"/>
      <c r="D54" s="15" t="n"/>
      <c r="E54" s="16">
        <f>IF(OR(C54="",D54=""),"",D54-C54)</f>
        <v/>
      </c>
      <c r="F54" s="14" t="n"/>
      <c r="G54" s="14" t="n"/>
      <c r="H54" s="17">
        <f>IF(A54="","",IF(A54&lt;DATE(2026,7,1),Settings!$B$4,Settings!$B$5))</f>
        <v/>
      </c>
      <c r="I54" s="18">
        <f>IF(OR(E54="",H54=""),"",E54*H54)</f>
        <v/>
      </c>
    </row>
    <row r="55">
      <c r="A55" s="13" t="n"/>
      <c r="B55" s="14" t="n"/>
      <c r="C55" s="15" t="n"/>
      <c r="D55" s="15" t="n"/>
      <c r="E55" s="16">
        <f>IF(OR(C55="",D55=""),"",D55-C55)</f>
        <v/>
      </c>
      <c r="F55" s="14" t="n"/>
      <c r="G55" s="14" t="n"/>
      <c r="H55" s="17">
        <f>IF(A55="","",IF(A55&lt;DATE(2026,7,1),Settings!$B$4,Settings!$B$5))</f>
        <v/>
      </c>
      <c r="I55" s="18">
        <f>IF(OR(E55="",H55=""),"",E55*H55)</f>
        <v/>
      </c>
    </row>
    <row r="56">
      <c r="A56" s="13" t="n"/>
      <c r="B56" s="14" t="n"/>
      <c r="C56" s="15" t="n"/>
      <c r="D56" s="15" t="n"/>
      <c r="E56" s="16">
        <f>IF(OR(C56="",D56=""),"",D56-C56)</f>
        <v/>
      </c>
      <c r="F56" s="14" t="n"/>
      <c r="G56" s="14" t="n"/>
      <c r="H56" s="17">
        <f>IF(A56="","",IF(A56&lt;DATE(2026,7,1),Settings!$B$4,Settings!$B$5))</f>
        <v/>
      </c>
      <c r="I56" s="18">
        <f>IF(OR(E56="",H56=""),"",E56*H56)</f>
        <v/>
      </c>
    </row>
    <row r="57">
      <c r="A57" s="13" t="n"/>
      <c r="B57" s="14" t="n"/>
      <c r="C57" s="15" t="n"/>
      <c r="D57" s="15" t="n"/>
      <c r="E57" s="16">
        <f>IF(OR(C57="",D57=""),"",D57-C57)</f>
        <v/>
      </c>
      <c r="F57" s="14" t="n"/>
      <c r="G57" s="14" t="n"/>
      <c r="H57" s="17">
        <f>IF(A57="","",IF(A57&lt;DATE(2026,7,1),Settings!$B$4,Settings!$B$5))</f>
        <v/>
      </c>
      <c r="I57" s="18">
        <f>IF(OR(E57="",H57=""),"",E57*H57)</f>
        <v/>
      </c>
    </row>
    <row r="58">
      <c r="A58" s="13" t="n"/>
      <c r="B58" s="14" t="n"/>
      <c r="C58" s="15" t="n"/>
      <c r="D58" s="15" t="n"/>
      <c r="E58" s="16">
        <f>IF(OR(C58="",D58=""),"",D58-C58)</f>
        <v/>
      </c>
      <c r="F58" s="14" t="n"/>
      <c r="G58" s="14" t="n"/>
      <c r="H58" s="17">
        <f>IF(A58="","",IF(A58&lt;DATE(2026,7,1),Settings!$B$4,Settings!$B$5))</f>
        <v/>
      </c>
      <c r="I58" s="18">
        <f>IF(OR(E58="",H58=""),"",E58*H58)</f>
        <v/>
      </c>
    </row>
    <row r="59">
      <c r="A59" s="13" t="n"/>
      <c r="B59" s="14" t="n"/>
      <c r="C59" s="15" t="n"/>
      <c r="D59" s="15" t="n"/>
      <c r="E59" s="16">
        <f>IF(OR(C59="",D59=""),"",D59-C59)</f>
        <v/>
      </c>
      <c r="F59" s="14" t="n"/>
      <c r="G59" s="14" t="n"/>
      <c r="H59" s="17">
        <f>IF(A59="","",IF(A59&lt;DATE(2026,7,1),Settings!$B$4,Settings!$B$5))</f>
        <v/>
      </c>
      <c r="I59" s="18">
        <f>IF(OR(E59="",H59=""),"",E59*H59)</f>
        <v/>
      </c>
    </row>
    <row r="60">
      <c r="A60" s="13" t="n"/>
      <c r="B60" s="14" t="n"/>
      <c r="C60" s="15" t="n"/>
      <c r="D60" s="15" t="n"/>
      <c r="E60" s="16">
        <f>IF(OR(C60="",D60=""),"",D60-C60)</f>
        <v/>
      </c>
      <c r="F60" s="14" t="n"/>
      <c r="G60" s="14" t="n"/>
      <c r="H60" s="17">
        <f>IF(A60="","",IF(A60&lt;DATE(2026,7,1),Settings!$B$4,Settings!$B$5))</f>
        <v/>
      </c>
      <c r="I60" s="18">
        <f>IF(OR(E60="",H60=""),"",E60*H60)</f>
        <v/>
      </c>
    </row>
    <row r="61">
      <c r="A61" s="13" t="n"/>
      <c r="B61" s="14" t="n"/>
      <c r="C61" s="15" t="n"/>
      <c r="D61" s="15" t="n"/>
      <c r="E61" s="16">
        <f>IF(OR(C61="",D61=""),"",D61-C61)</f>
        <v/>
      </c>
      <c r="F61" s="14" t="n"/>
      <c r="G61" s="14" t="n"/>
      <c r="H61" s="17">
        <f>IF(A61="","",IF(A61&lt;DATE(2026,7,1),Settings!$B$4,Settings!$B$5))</f>
        <v/>
      </c>
      <c r="I61" s="18">
        <f>IF(OR(E61="",H61=""),"",E61*H61)</f>
        <v/>
      </c>
    </row>
    <row r="62">
      <c r="A62" s="13" t="n"/>
      <c r="B62" s="14" t="n"/>
      <c r="C62" s="15" t="n"/>
      <c r="D62" s="15" t="n"/>
      <c r="E62" s="16">
        <f>IF(OR(C62="",D62=""),"",D62-C62)</f>
        <v/>
      </c>
      <c r="F62" s="14" t="n"/>
      <c r="G62" s="14" t="n"/>
      <c r="H62" s="17">
        <f>IF(A62="","",IF(A62&lt;DATE(2026,7,1),Settings!$B$4,Settings!$B$5))</f>
        <v/>
      </c>
      <c r="I62" s="18">
        <f>IF(OR(E62="",H62=""),"",E62*H62)</f>
        <v/>
      </c>
    </row>
    <row r="63">
      <c r="A63" s="13" t="n"/>
      <c r="B63" s="14" t="n"/>
      <c r="C63" s="15" t="n"/>
      <c r="D63" s="15" t="n"/>
      <c r="E63" s="16">
        <f>IF(OR(C63="",D63=""),"",D63-C63)</f>
        <v/>
      </c>
      <c r="F63" s="14" t="n"/>
      <c r="G63" s="14" t="n"/>
      <c r="H63" s="17">
        <f>IF(A63="","",IF(A63&lt;DATE(2026,7,1),Settings!$B$4,Settings!$B$5))</f>
        <v/>
      </c>
      <c r="I63" s="18">
        <f>IF(OR(E63="",H63=""),"",E63*H63)</f>
        <v/>
      </c>
    </row>
    <row r="64">
      <c r="A64" s="13" t="n"/>
      <c r="B64" s="14" t="n"/>
      <c r="C64" s="15" t="n"/>
      <c r="D64" s="15" t="n"/>
      <c r="E64" s="16">
        <f>IF(OR(C64="",D64=""),"",D64-C64)</f>
        <v/>
      </c>
      <c r="F64" s="14" t="n"/>
      <c r="G64" s="14" t="n"/>
      <c r="H64" s="17">
        <f>IF(A64="","",IF(A64&lt;DATE(2026,7,1),Settings!$B$4,Settings!$B$5))</f>
        <v/>
      </c>
      <c r="I64" s="18">
        <f>IF(OR(E64="",H64=""),"",E64*H64)</f>
        <v/>
      </c>
    </row>
    <row r="65">
      <c r="A65" s="13" t="n"/>
      <c r="B65" s="14" t="n"/>
      <c r="C65" s="15" t="n"/>
      <c r="D65" s="15" t="n"/>
      <c r="E65" s="16">
        <f>IF(OR(C65="",D65=""),"",D65-C65)</f>
        <v/>
      </c>
      <c r="F65" s="14" t="n"/>
      <c r="G65" s="14" t="n"/>
      <c r="H65" s="17">
        <f>IF(A65="","",IF(A65&lt;DATE(2026,7,1),Settings!$B$4,Settings!$B$5))</f>
        <v/>
      </c>
      <c r="I65" s="18">
        <f>IF(OR(E65="",H65=""),"",E65*H65)</f>
        <v/>
      </c>
    </row>
    <row r="66">
      <c r="A66" s="13" t="n"/>
      <c r="B66" s="14" t="n"/>
      <c r="C66" s="15" t="n"/>
      <c r="D66" s="15" t="n"/>
      <c r="E66" s="16">
        <f>IF(OR(C66="",D66=""),"",D66-C66)</f>
        <v/>
      </c>
      <c r="F66" s="14" t="n"/>
      <c r="G66" s="14" t="n"/>
      <c r="H66" s="17">
        <f>IF(A66="","",IF(A66&lt;DATE(2026,7,1),Settings!$B$4,Settings!$B$5))</f>
        <v/>
      </c>
      <c r="I66" s="18">
        <f>IF(OR(E66="",H66=""),"",E66*H66)</f>
        <v/>
      </c>
    </row>
    <row r="67">
      <c r="A67" s="13" t="n"/>
      <c r="B67" s="14" t="n"/>
      <c r="C67" s="15" t="n"/>
      <c r="D67" s="15" t="n"/>
      <c r="E67" s="16">
        <f>IF(OR(C67="",D67=""),"",D67-C67)</f>
        <v/>
      </c>
      <c r="F67" s="14" t="n"/>
      <c r="G67" s="14" t="n"/>
      <c r="H67" s="17">
        <f>IF(A67="","",IF(A67&lt;DATE(2026,7,1),Settings!$B$4,Settings!$B$5))</f>
        <v/>
      </c>
      <c r="I67" s="18">
        <f>IF(OR(E67="",H67=""),"",E67*H67)</f>
        <v/>
      </c>
    </row>
    <row r="68">
      <c r="A68" s="13" t="n"/>
      <c r="B68" s="14" t="n"/>
      <c r="C68" s="15" t="n"/>
      <c r="D68" s="15" t="n"/>
      <c r="E68" s="16">
        <f>IF(OR(C68="",D68=""),"",D68-C68)</f>
        <v/>
      </c>
      <c r="F68" s="14" t="n"/>
      <c r="G68" s="14" t="n"/>
      <c r="H68" s="17">
        <f>IF(A68="","",IF(A68&lt;DATE(2026,7,1),Settings!$B$4,Settings!$B$5))</f>
        <v/>
      </c>
      <c r="I68" s="18">
        <f>IF(OR(E68="",H68=""),"",E68*H68)</f>
        <v/>
      </c>
    </row>
    <row r="69">
      <c r="A69" s="13" t="n"/>
      <c r="B69" s="14" t="n"/>
      <c r="C69" s="15" t="n"/>
      <c r="D69" s="15" t="n"/>
      <c r="E69" s="16">
        <f>IF(OR(C69="",D69=""),"",D69-C69)</f>
        <v/>
      </c>
      <c r="F69" s="14" t="n"/>
      <c r="G69" s="14" t="n"/>
      <c r="H69" s="17">
        <f>IF(A69="","",IF(A69&lt;DATE(2026,7,1),Settings!$B$4,Settings!$B$5))</f>
        <v/>
      </c>
      <c r="I69" s="18">
        <f>IF(OR(E69="",H69=""),"",E69*H69)</f>
        <v/>
      </c>
    </row>
    <row r="70">
      <c r="A70" s="13" t="n"/>
      <c r="B70" s="14" t="n"/>
      <c r="C70" s="15" t="n"/>
      <c r="D70" s="15" t="n"/>
      <c r="E70" s="16">
        <f>IF(OR(C70="",D70=""),"",D70-C70)</f>
        <v/>
      </c>
      <c r="F70" s="14" t="n"/>
      <c r="G70" s="14" t="n"/>
      <c r="H70" s="17">
        <f>IF(A70="","",IF(A70&lt;DATE(2026,7,1),Settings!$B$4,Settings!$B$5))</f>
        <v/>
      </c>
      <c r="I70" s="18">
        <f>IF(OR(E70="",H70=""),"",E70*H70)</f>
        <v/>
      </c>
    </row>
    <row r="71">
      <c r="A71" s="13" t="n"/>
      <c r="B71" s="14" t="n"/>
      <c r="C71" s="15" t="n"/>
      <c r="D71" s="15" t="n"/>
      <c r="E71" s="16">
        <f>IF(OR(C71="",D71=""),"",D71-C71)</f>
        <v/>
      </c>
      <c r="F71" s="14" t="n"/>
      <c r="G71" s="14" t="n"/>
      <c r="H71" s="17">
        <f>IF(A71="","",IF(A71&lt;DATE(2026,7,1),Settings!$B$4,Settings!$B$5))</f>
        <v/>
      </c>
      <c r="I71" s="18">
        <f>IF(OR(E71="",H71=""),"",E71*H71)</f>
        <v/>
      </c>
    </row>
    <row r="72">
      <c r="A72" s="13" t="n"/>
      <c r="B72" s="14" t="n"/>
      <c r="C72" s="15" t="n"/>
      <c r="D72" s="15" t="n"/>
      <c r="E72" s="16">
        <f>IF(OR(C72="",D72=""),"",D72-C72)</f>
        <v/>
      </c>
      <c r="F72" s="14" t="n"/>
      <c r="G72" s="14" t="n"/>
      <c r="H72" s="17">
        <f>IF(A72="","",IF(A72&lt;DATE(2026,7,1),Settings!$B$4,Settings!$B$5))</f>
        <v/>
      </c>
      <c r="I72" s="18">
        <f>IF(OR(E72="",H72=""),"",E72*H72)</f>
        <v/>
      </c>
    </row>
    <row r="73">
      <c r="A73" s="13" t="n"/>
      <c r="B73" s="14" t="n"/>
      <c r="C73" s="15" t="n"/>
      <c r="D73" s="15" t="n"/>
      <c r="E73" s="16">
        <f>IF(OR(C73="",D73=""),"",D73-C73)</f>
        <v/>
      </c>
      <c r="F73" s="14" t="n"/>
      <c r="G73" s="14" t="n"/>
      <c r="H73" s="17">
        <f>IF(A73="","",IF(A73&lt;DATE(2026,7,1),Settings!$B$4,Settings!$B$5))</f>
        <v/>
      </c>
      <c r="I73" s="18">
        <f>IF(OR(E73="",H73=""),"",E73*H73)</f>
        <v/>
      </c>
    </row>
    <row r="74">
      <c r="A74" s="13" t="n"/>
      <c r="B74" s="14" t="n"/>
      <c r="C74" s="15" t="n"/>
      <c r="D74" s="15" t="n"/>
      <c r="E74" s="16">
        <f>IF(OR(C74="",D74=""),"",D74-C74)</f>
        <v/>
      </c>
      <c r="F74" s="14" t="n"/>
      <c r="G74" s="14" t="n"/>
      <c r="H74" s="17">
        <f>IF(A74="","",IF(A74&lt;DATE(2026,7,1),Settings!$B$4,Settings!$B$5))</f>
        <v/>
      </c>
      <c r="I74" s="18">
        <f>IF(OR(E74="",H74=""),"",E74*H74)</f>
        <v/>
      </c>
    </row>
    <row r="75">
      <c r="A75" s="13" t="n"/>
      <c r="B75" s="14" t="n"/>
      <c r="C75" s="15" t="n"/>
      <c r="D75" s="15" t="n"/>
      <c r="E75" s="16">
        <f>IF(OR(C75="",D75=""),"",D75-C75)</f>
        <v/>
      </c>
      <c r="F75" s="14" t="n"/>
      <c r="G75" s="14" t="n"/>
      <c r="H75" s="17">
        <f>IF(A75="","",IF(A75&lt;DATE(2026,7,1),Settings!$B$4,Settings!$B$5))</f>
        <v/>
      </c>
      <c r="I75" s="18">
        <f>IF(OR(E75="",H75=""),"",E75*H75)</f>
        <v/>
      </c>
    </row>
    <row r="76">
      <c r="A76" s="13" t="n"/>
      <c r="B76" s="14" t="n"/>
      <c r="C76" s="15" t="n"/>
      <c r="D76" s="15" t="n"/>
      <c r="E76" s="16">
        <f>IF(OR(C76="",D76=""),"",D76-C76)</f>
        <v/>
      </c>
      <c r="F76" s="14" t="n"/>
      <c r="G76" s="14" t="n"/>
      <c r="H76" s="17">
        <f>IF(A76="","",IF(A76&lt;DATE(2026,7,1),Settings!$B$4,Settings!$B$5))</f>
        <v/>
      </c>
      <c r="I76" s="18">
        <f>IF(OR(E76="",H76=""),"",E76*H76)</f>
        <v/>
      </c>
    </row>
    <row r="77">
      <c r="A77" s="13" t="n"/>
      <c r="B77" s="14" t="n"/>
      <c r="C77" s="15" t="n"/>
      <c r="D77" s="15" t="n"/>
      <c r="E77" s="16">
        <f>IF(OR(C77="",D77=""),"",D77-C77)</f>
        <v/>
      </c>
      <c r="F77" s="14" t="n"/>
      <c r="G77" s="14" t="n"/>
      <c r="H77" s="17">
        <f>IF(A77="","",IF(A77&lt;DATE(2026,7,1),Settings!$B$4,Settings!$B$5))</f>
        <v/>
      </c>
      <c r="I77" s="18">
        <f>IF(OR(E77="",H77=""),"",E77*H77)</f>
        <v/>
      </c>
    </row>
    <row r="78">
      <c r="A78" s="13" t="n"/>
      <c r="B78" s="14" t="n"/>
      <c r="C78" s="15" t="n"/>
      <c r="D78" s="15" t="n"/>
      <c r="E78" s="16">
        <f>IF(OR(C78="",D78=""),"",D78-C78)</f>
        <v/>
      </c>
      <c r="F78" s="14" t="n"/>
      <c r="G78" s="14" t="n"/>
      <c r="H78" s="17">
        <f>IF(A78="","",IF(A78&lt;DATE(2026,7,1),Settings!$B$4,Settings!$B$5))</f>
        <v/>
      </c>
      <c r="I78" s="18">
        <f>IF(OR(E78="",H78=""),"",E78*H78)</f>
        <v/>
      </c>
    </row>
    <row r="79">
      <c r="A79" s="13" t="n"/>
      <c r="B79" s="14" t="n"/>
      <c r="C79" s="15" t="n"/>
      <c r="D79" s="15" t="n"/>
      <c r="E79" s="16">
        <f>IF(OR(C79="",D79=""),"",D79-C79)</f>
        <v/>
      </c>
      <c r="F79" s="14" t="n"/>
      <c r="G79" s="14" t="n"/>
      <c r="H79" s="17">
        <f>IF(A79="","",IF(A79&lt;DATE(2026,7,1),Settings!$B$4,Settings!$B$5))</f>
        <v/>
      </c>
      <c r="I79" s="18">
        <f>IF(OR(E79="",H79=""),"",E79*H79)</f>
        <v/>
      </c>
    </row>
    <row r="80">
      <c r="A80" s="13" t="n"/>
      <c r="B80" s="14" t="n"/>
      <c r="C80" s="15" t="n"/>
      <c r="D80" s="15" t="n"/>
      <c r="E80" s="16">
        <f>IF(OR(C80="",D80=""),"",D80-C80)</f>
        <v/>
      </c>
      <c r="F80" s="14" t="n"/>
      <c r="G80" s="14" t="n"/>
      <c r="H80" s="17">
        <f>IF(A80="","",IF(A80&lt;DATE(2026,7,1),Settings!$B$4,Settings!$B$5))</f>
        <v/>
      </c>
      <c r="I80" s="18">
        <f>IF(OR(E80="",H80=""),"",E80*H80)</f>
        <v/>
      </c>
    </row>
    <row r="81">
      <c r="A81" s="13" t="n"/>
      <c r="B81" s="14" t="n"/>
      <c r="C81" s="15" t="n"/>
      <c r="D81" s="15" t="n"/>
      <c r="E81" s="16">
        <f>IF(OR(C81="",D81=""),"",D81-C81)</f>
        <v/>
      </c>
      <c r="F81" s="14" t="n"/>
      <c r="G81" s="14" t="n"/>
      <c r="H81" s="17">
        <f>IF(A81="","",IF(A81&lt;DATE(2026,7,1),Settings!$B$4,Settings!$B$5))</f>
        <v/>
      </c>
      <c r="I81" s="18">
        <f>IF(OR(E81="",H81=""),"",E81*H81)</f>
        <v/>
      </c>
    </row>
    <row r="82">
      <c r="A82" s="13" t="n"/>
      <c r="B82" s="14" t="n"/>
      <c r="C82" s="15" t="n"/>
      <c r="D82" s="15" t="n"/>
      <c r="E82" s="16">
        <f>IF(OR(C82="",D82=""),"",D82-C82)</f>
        <v/>
      </c>
      <c r="F82" s="14" t="n"/>
      <c r="G82" s="14" t="n"/>
      <c r="H82" s="17">
        <f>IF(A82="","",IF(A82&lt;DATE(2026,7,1),Settings!$B$4,Settings!$B$5))</f>
        <v/>
      </c>
      <c r="I82" s="18">
        <f>IF(OR(E82="",H82=""),"",E82*H82)</f>
        <v/>
      </c>
    </row>
    <row r="83">
      <c r="A83" s="13" t="n"/>
      <c r="B83" s="14" t="n"/>
      <c r="C83" s="15" t="n"/>
      <c r="D83" s="15" t="n"/>
      <c r="E83" s="16">
        <f>IF(OR(C83="",D83=""),"",D83-C83)</f>
        <v/>
      </c>
      <c r="F83" s="14" t="n"/>
      <c r="G83" s="14" t="n"/>
      <c r="H83" s="17">
        <f>IF(A83="","",IF(A83&lt;DATE(2026,7,1),Settings!$B$4,Settings!$B$5))</f>
        <v/>
      </c>
      <c r="I83" s="18">
        <f>IF(OR(E83="",H83=""),"",E83*H83)</f>
        <v/>
      </c>
    </row>
    <row r="84">
      <c r="A84" s="13" t="n"/>
      <c r="B84" s="14" t="n"/>
      <c r="C84" s="15" t="n"/>
      <c r="D84" s="15" t="n"/>
      <c r="E84" s="16">
        <f>IF(OR(C84="",D84=""),"",D84-C84)</f>
        <v/>
      </c>
      <c r="F84" s="14" t="n"/>
      <c r="G84" s="14" t="n"/>
      <c r="H84" s="17">
        <f>IF(A84="","",IF(A84&lt;DATE(2026,7,1),Settings!$B$4,Settings!$B$5))</f>
        <v/>
      </c>
      <c r="I84" s="18">
        <f>IF(OR(E84="",H84=""),"",E84*H84)</f>
        <v/>
      </c>
    </row>
    <row r="85">
      <c r="A85" s="13" t="n"/>
      <c r="B85" s="14" t="n"/>
      <c r="C85" s="15" t="n"/>
      <c r="D85" s="15" t="n"/>
      <c r="E85" s="16">
        <f>IF(OR(C85="",D85=""),"",D85-C85)</f>
        <v/>
      </c>
      <c r="F85" s="14" t="n"/>
      <c r="G85" s="14" t="n"/>
      <c r="H85" s="17">
        <f>IF(A85="","",IF(A85&lt;DATE(2026,7,1),Settings!$B$4,Settings!$B$5))</f>
        <v/>
      </c>
      <c r="I85" s="18">
        <f>IF(OR(E85="",H85=""),"",E85*H85)</f>
        <v/>
      </c>
    </row>
    <row r="86">
      <c r="A86" s="13" t="n"/>
      <c r="B86" s="14" t="n"/>
      <c r="C86" s="15" t="n"/>
      <c r="D86" s="15" t="n"/>
      <c r="E86" s="16">
        <f>IF(OR(C86="",D86=""),"",D86-C86)</f>
        <v/>
      </c>
      <c r="F86" s="14" t="n"/>
      <c r="G86" s="14" t="n"/>
      <c r="H86" s="17">
        <f>IF(A86="","",IF(A86&lt;DATE(2026,7,1),Settings!$B$4,Settings!$B$5))</f>
        <v/>
      </c>
      <c r="I86" s="18">
        <f>IF(OR(E86="",H86=""),"",E86*H86)</f>
        <v/>
      </c>
    </row>
    <row r="87">
      <c r="A87" s="13" t="n"/>
      <c r="B87" s="14" t="n"/>
      <c r="C87" s="15" t="n"/>
      <c r="D87" s="15" t="n"/>
      <c r="E87" s="16">
        <f>IF(OR(C87="",D87=""),"",D87-C87)</f>
        <v/>
      </c>
      <c r="F87" s="14" t="n"/>
      <c r="G87" s="14" t="n"/>
      <c r="H87" s="17">
        <f>IF(A87="","",IF(A87&lt;DATE(2026,7,1),Settings!$B$4,Settings!$B$5))</f>
        <v/>
      </c>
      <c r="I87" s="18">
        <f>IF(OR(E87="",H87=""),"",E87*H87)</f>
        <v/>
      </c>
    </row>
    <row r="88">
      <c r="A88" s="13" t="n"/>
      <c r="B88" s="14" t="n"/>
      <c r="C88" s="15" t="n"/>
      <c r="D88" s="15" t="n"/>
      <c r="E88" s="16">
        <f>IF(OR(C88="",D88=""),"",D88-C88)</f>
        <v/>
      </c>
      <c r="F88" s="14" t="n"/>
      <c r="G88" s="14" t="n"/>
      <c r="H88" s="17">
        <f>IF(A88="","",IF(A88&lt;DATE(2026,7,1),Settings!$B$4,Settings!$B$5))</f>
        <v/>
      </c>
      <c r="I88" s="18">
        <f>IF(OR(E88="",H88=""),"",E88*H88)</f>
        <v/>
      </c>
    </row>
    <row r="89">
      <c r="A89" s="13" t="n"/>
      <c r="B89" s="14" t="n"/>
      <c r="C89" s="15" t="n"/>
      <c r="D89" s="15" t="n"/>
      <c r="E89" s="16">
        <f>IF(OR(C89="",D89=""),"",D89-C89)</f>
        <v/>
      </c>
      <c r="F89" s="14" t="n"/>
      <c r="G89" s="14" t="n"/>
      <c r="H89" s="17">
        <f>IF(A89="","",IF(A89&lt;DATE(2026,7,1),Settings!$B$4,Settings!$B$5))</f>
        <v/>
      </c>
      <c r="I89" s="18">
        <f>IF(OR(E89="",H89=""),"",E89*H89)</f>
        <v/>
      </c>
    </row>
    <row r="90">
      <c r="A90" s="13" t="n"/>
      <c r="B90" s="14" t="n"/>
      <c r="C90" s="15" t="n"/>
      <c r="D90" s="15" t="n"/>
      <c r="E90" s="16">
        <f>IF(OR(C90="",D90=""),"",D90-C90)</f>
        <v/>
      </c>
      <c r="F90" s="14" t="n"/>
      <c r="G90" s="14" t="n"/>
      <c r="H90" s="17">
        <f>IF(A90="","",IF(A90&lt;DATE(2026,7,1),Settings!$B$4,Settings!$B$5))</f>
        <v/>
      </c>
      <c r="I90" s="18">
        <f>IF(OR(E90="",H90=""),"",E90*H90)</f>
        <v/>
      </c>
    </row>
    <row r="91">
      <c r="A91" s="13" t="n"/>
      <c r="B91" s="14" t="n"/>
      <c r="C91" s="15" t="n"/>
      <c r="D91" s="15" t="n"/>
      <c r="E91" s="16">
        <f>IF(OR(C91="",D91=""),"",D91-C91)</f>
        <v/>
      </c>
      <c r="F91" s="14" t="n"/>
      <c r="G91" s="14" t="n"/>
      <c r="H91" s="17">
        <f>IF(A91="","",IF(A91&lt;DATE(2026,7,1),Settings!$B$4,Settings!$B$5))</f>
        <v/>
      </c>
      <c r="I91" s="18">
        <f>IF(OR(E91="",H91=""),"",E91*H91)</f>
        <v/>
      </c>
    </row>
    <row r="92">
      <c r="A92" s="13" t="n"/>
      <c r="B92" s="14" t="n"/>
      <c r="C92" s="15" t="n"/>
      <c r="D92" s="15" t="n"/>
      <c r="E92" s="16">
        <f>IF(OR(C92="",D92=""),"",D92-C92)</f>
        <v/>
      </c>
      <c r="F92" s="14" t="n"/>
      <c r="G92" s="14" t="n"/>
      <c r="H92" s="17">
        <f>IF(A92="","",IF(A92&lt;DATE(2026,7,1),Settings!$B$4,Settings!$B$5))</f>
        <v/>
      </c>
      <c r="I92" s="18">
        <f>IF(OR(E92="",H92=""),"",E92*H92)</f>
        <v/>
      </c>
    </row>
    <row r="93">
      <c r="A93" s="13" t="n"/>
      <c r="B93" s="14" t="n"/>
      <c r="C93" s="15" t="n"/>
      <c r="D93" s="15" t="n"/>
      <c r="E93" s="16">
        <f>IF(OR(C93="",D93=""),"",D93-C93)</f>
        <v/>
      </c>
      <c r="F93" s="14" t="n"/>
      <c r="G93" s="14" t="n"/>
      <c r="H93" s="17">
        <f>IF(A93="","",IF(A93&lt;DATE(2026,7,1),Settings!$B$4,Settings!$B$5))</f>
        <v/>
      </c>
      <c r="I93" s="18">
        <f>IF(OR(E93="",H93=""),"",E93*H93)</f>
        <v/>
      </c>
    </row>
    <row r="94">
      <c r="A94" s="13" t="n"/>
      <c r="B94" s="14" t="n"/>
      <c r="C94" s="15" t="n"/>
      <c r="D94" s="15" t="n"/>
      <c r="E94" s="16">
        <f>IF(OR(C94="",D94=""),"",D94-C94)</f>
        <v/>
      </c>
      <c r="F94" s="14" t="n"/>
      <c r="G94" s="14" t="n"/>
      <c r="H94" s="17">
        <f>IF(A94="","",IF(A94&lt;DATE(2026,7,1),Settings!$B$4,Settings!$B$5))</f>
        <v/>
      </c>
      <c r="I94" s="18">
        <f>IF(OR(E94="",H94=""),"",E94*H94)</f>
        <v/>
      </c>
    </row>
    <row r="95">
      <c r="A95" s="13" t="n"/>
      <c r="B95" s="14" t="n"/>
      <c r="C95" s="15" t="n"/>
      <c r="D95" s="15" t="n"/>
      <c r="E95" s="16">
        <f>IF(OR(C95="",D95=""),"",D95-C95)</f>
        <v/>
      </c>
      <c r="F95" s="14" t="n"/>
      <c r="G95" s="14" t="n"/>
      <c r="H95" s="17">
        <f>IF(A95="","",IF(A95&lt;DATE(2026,7,1),Settings!$B$4,Settings!$B$5))</f>
        <v/>
      </c>
      <c r="I95" s="18">
        <f>IF(OR(E95="",H95=""),"",E95*H95)</f>
        <v/>
      </c>
    </row>
    <row r="96">
      <c r="A96" s="13" t="n"/>
      <c r="B96" s="14" t="n"/>
      <c r="C96" s="15" t="n"/>
      <c r="D96" s="15" t="n"/>
      <c r="E96" s="16">
        <f>IF(OR(C96="",D96=""),"",D96-C96)</f>
        <v/>
      </c>
      <c r="F96" s="14" t="n"/>
      <c r="G96" s="14" t="n"/>
      <c r="H96" s="17">
        <f>IF(A96="","",IF(A96&lt;DATE(2026,7,1),Settings!$B$4,Settings!$B$5))</f>
        <v/>
      </c>
      <c r="I96" s="18">
        <f>IF(OR(E96="",H96=""),"",E96*H96)</f>
        <v/>
      </c>
    </row>
    <row r="97">
      <c r="A97" s="13" t="n"/>
      <c r="B97" s="14" t="n"/>
      <c r="C97" s="15" t="n"/>
      <c r="D97" s="15" t="n"/>
      <c r="E97" s="16">
        <f>IF(OR(C97="",D97=""),"",D97-C97)</f>
        <v/>
      </c>
      <c r="F97" s="14" t="n"/>
      <c r="G97" s="14" t="n"/>
      <c r="H97" s="17">
        <f>IF(A97="","",IF(A97&lt;DATE(2026,7,1),Settings!$B$4,Settings!$B$5))</f>
        <v/>
      </c>
      <c r="I97" s="18">
        <f>IF(OR(E97="",H97=""),"",E97*H97)</f>
        <v/>
      </c>
    </row>
    <row r="98">
      <c r="A98" s="13" t="n"/>
      <c r="B98" s="14" t="n"/>
      <c r="C98" s="15" t="n"/>
      <c r="D98" s="15" t="n"/>
      <c r="E98" s="16">
        <f>IF(OR(C98="",D98=""),"",D98-C98)</f>
        <v/>
      </c>
      <c r="F98" s="14" t="n"/>
      <c r="G98" s="14" t="n"/>
      <c r="H98" s="17">
        <f>IF(A98="","",IF(A98&lt;DATE(2026,7,1),Settings!$B$4,Settings!$B$5))</f>
        <v/>
      </c>
      <c r="I98" s="18">
        <f>IF(OR(E98="",H98=""),"",E98*H98)</f>
        <v/>
      </c>
    </row>
    <row r="99">
      <c r="A99" s="13" t="n"/>
      <c r="B99" s="14" t="n"/>
      <c r="C99" s="15" t="n"/>
      <c r="D99" s="15" t="n"/>
      <c r="E99" s="16">
        <f>IF(OR(C99="",D99=""),"",D99-C99)</f>
        <v/>
      </c>
      <c r="F99" s="14" t="n"/>
      <c r="G99" s="14" t="n"/>
      <c r="H99" s="17">
        <f>IF(A99="","",IF(A99&lt;DATE(2026,7,1),Settings!$B$4,Settings!$B$5))</f>
        <v/>
      </c>
      <c r="I99" s="18">
        <f>IF(OR(E99="",H99=""),"",E99*H99)</f>
        <v/>
      </c>
    </row>
    <row r="100">
      <c r="A100" s="13" t="n"/>
      <c r="B100" s="14" t="n"/>
      <c r="C100" s="15" t="n"/>
      <c r="D100" s="15" t="n"/>
      <c r="E100" s="16">
        <f>IF(OR(C100="",D100=""),"",D100-C100)</f>
        <v/>
      </c>
      <c r="F100" s="14" t="n"/>
      <c r="G100" s="14" t="n"/>
      <c r="H100" s="17">
        <f>IF(A100="","",IF(A100&lt;DATE(2026,7,1),Settings!$B$4,Settings!$B$5))</f>
        <v/>
      </c>
      <c r="I100" s="18">
        <f>IF(OR(E100="",H100=""),"",E100*H100)</f>
        <v/>
      </c>
    </row>
    <row r="101">
      <c r="A101" s="13" t="n"/>
      <c r="B101" s="14" t="n"/>
      <c r="C101" s="15" t="n"/>
      <c r="D101" s="15" t="n"/>
      <c r="E101" s="16">
        <f>IF(OR(C101="",D101=""),"",D101-C101)</f>
        <v/>
      </c>
      <c r="F101" s="14" t="n"/>
      <c r="G101" s="14" t="n"/>
      <c r="H101" s="17">
        <f>IF(A101="","",IF(A101&lt;DATE(2026,7,1),Settings!$B$4,Settings!$B$5))</f>
        <v/>
      </c>
      <c r="I101" s="18">
        <f>IF(OR(E101="",H101=""),"",E101*H101)</f>
        <v/>
      </c>
    </row>
    <row r="102">
      <c r="A102" s="13" t="n"/>
      <c r="B102" s="14" t="n"/>
      <c r="C102" s="15" t="n"/>
      <c r="D102" s="15" t="n"/>
      <c r="E102" s="16">
        <f>IF(OR(C102="",D102=""),"",D102-C102)</f>
        <v/>
      </c>
      <c r="F102" s="14" t="n"/>
      <c r="G102" s="14" t="n"/>
      <c r="H102" s="17">
        <f>IF(A102="","",IF(A102&lt;DATE(2026,7,1),Settings!$B$4,Settings!$B$5))</f>
        <v/>
      </c>
      <c r="I102" s="18">
        <f>IF(OR(E102="",H102=""),"",E102*H102)</f>
        <v/>
      </c>
    </row>
    <row r="103">
      <c r="A103" s="13" t="n"/>
      <c r="B103" s="14" t="n"/>
      <c r="C103" s="15" t="n"/>
      <c r="D103" s="15" t="n"/>
      <c r="E103" s="16">
        <f>IF(OR(C103="",D103=""),"",D103-C103)</f>
        <v/>
      </c>
      <c r="F103" s="14" t="n"/>
      <c r="G103" s="14" t="n"/>
      <c r="H103" s="17">
        <f>IF(A103="","",IF(A103&lt;DATE(2026,7,1),Settings!$B$4,Settings!$B$5))</f>
        <v/>
      </c>
      <c r="I103" s="18">
        <f>IF(OR(E103="",H103=""),"",E103*H103)</f>
        <v/>
      </c>
    </row>
    <row r="104">
      <c r="A104" s="13" t="n"/>
      <c r="B104" s="14" t="n"/>
      <c r="C104" s="15" t="n"/>
      <c r="D104" s="15" t="n"/>
      <c r="E104" s="16">
        <f>IF(OR(C104="",D104=""),"",D104-C104)</f>
        <v/>
      </c>
      <c r="F104" s="14" t="n"/>
      <c r="G104" s="14" t="n"/>
      <c r="H104" s="17">
        <f>IF(A104="","",IF(A104&lt;DATE(2026,7,1),Settings!$B$4,Settings!$B$5))</f>
        <v/>
      </c>
      <c r="I104" s="18">
        <f>IF(OR(E104="",H104=""),"",E104*H104)</f>
        <v/>
      </c>
    </row>
    <row r="105">
      <c r="A105" s="13" t="n"/>
      <c r="B105" s="14" t="n"/>
      <c r="C105" s="15" t="n"/>
      <c r="D105" s="15" t="n"/>
      <c r="E105" s="16">
        <f>IF(OR(C105="",D105=""),"",D105-C105)</f>
        <v/>
      </c>
      <c r="F105" s="14" t="n"/>
      <c r="G105" s="14" t="n"/>
      <c r="H105" s="17">
        <f>IF(A105="","",IF(A105&lt;DATE(2026,7,1),Settings!$B$4,Settings!$B$5))</f>
        <v/>
      </c>
      <c r="I105" s="18">
        <f>IF(OR(E105="",H105=""),"",E105*H105)</f>
        <v/>
      </c>
    </row>
    <row r="106">
      <c r="A106" s="13" t="n"/>
      <c r="B106" s="14" t="n"/>
      <c r="C106" s="15" t="n"/>
      <c r="D106" s="15" t="n"/>
      <c r="E106" s="16">
        <f>IF(OR(C106="",D106=""),"",D106-C106)</f>
        <v/>
      </c>
      <c r="F106" s="14" t="n"/>
      <c r="G106" s="14" t="n"/>
      <c r="H106" s="17">
        <f>IF(A106="","",IF(A106&lt;DATE(2026,7,1),Settings!$B$4,Settings!$B$5))</f>
        <v/>
      </c>
      <c r="I106" s="18">
        <f>IF(OR(E106="",H106=""),"",E106*H106)</f>
        <v/>
      </c>
    </row>
    <row r="107">
      <c r="A107" s="13" t="n"/>
      <c r="B107" s="14" t="n"/>
      <c r="C107" s="15" t="n"/>
      <c r="D107" s="15" t="n"/>
      <c r="E107" s="16">
        <f>IF(OR(C107="",D107=""),"",D107-C107)</f>
        <v/>
      </c>
      <c r="F107" s="14" t="n"/>
      <c r="G107" s="14" t="n"/>
      <c r="H107" s="17">
        <f>IF(A107="","",IF(A107&lt;DATE(2026,7,1),Settings!$B$4,Settings!$B$5))</f>
        <v/>
      </c>
      <c r="I107" s="18">
        <f>IF(OR(E107="",H107=""),"",E107*H107)</f>
        <v/>
      </c>
    </row>
    <row r="108">
      <c r="A108" s="13" t="n"/>
      <c r="B108" s="14" t="n"/>
      <c r="C108" s="15" t="n"/>
      <c r="D108" s="15" t="n"/>
      <c r="E108" s="16">
        <f>IF(OR(C108="",D108=""),"",D108-C108)</f>
        <v/>
      </c>
      <c r="F108" s="14" t="n"/>
      <c r="G108" s="14" t="n"/>
      <c r="H108" s="17">
        <f>IF(A108="","",IF(A108&lt;DATE(2026,7,1),Settings!$B$4,Settings!$B$5))</f>
        <v/>
      </c>
      <c r="I108" s="18">
        <f>IF(OR(E108="",H108=""),"",E108*H108)</f>
        <v/>
      </c>
    </row>
    <row r="109">
      <c r="A109" s="13" t="n"/>
      <c r="B109" s="14" t="n"/>
      <c r="C109" s="15" t="n"/>
      <c r="D109" s="15" t="n"/>
      <c r="E109" s="16">
        <f>IF(OR(C109="",D109=""),"",D109-C109)</f>
        <v/>
      </c>
      <c r="F109" s="14" t="n"/>
      <c r="G109" s="14" t="n"/>
      <c r="H109" s="17">
        <f>IF(A109="","",IF(A109&lt;DATE(2026,7,1),Settings!$B$4,Settings!$B$5))</f>
        <v/>
      </c>
      <c r="I109" s="18">
        <f>IF(OR(E109="",H109=""),"",E109*H109)</f>
        <v/>
      </c>
    </row>
    <row r="110">
      <c r="A110" s="13" t="n"/>
      <c r="B110" s="14" t="n"/>
      <c r="C110" s="15" t="n"/>
      <c r="D110" s="15" t="n"/>
      <c r="E110" s="16">
        <f>IF(OR(C110="",D110=""),"",D110-C110)</f>
        <v/>
      </c>
      <c r="F110" s="14" t="n"/>
      <c r="G110" s="14" t="n"/>
      <c r="H110" s="17">
        <f>IF(A110="","",IF(A110&lt;DATE(2026,7,1),Settings!$B$4,Settings!$B$5))</f>
        <v/>
      </c>
      <c r="I110" s="18">
        <f>IF(OR(E110="",H110=""),"",E110*H110)</f>
        <v/>
      </c>
    </row>
    <row r="111">
      <c r="A111" s="13" t="n"/>
      <c r="B111" s="14" t="n"/>
      <c r="C111" s="15" t="n"/>
      <c r="D111" s="15" t="n"/>
      <c r="E111" s="16">
        <f>IF(OR(C111="",D111=""),"",D111-C111)</f>
        <v/>
      </c>
      <c r="F111" s="14" t="n"/>
      <c r="G111" s="14" t="n"/>
      <c r="H111" s="17">
        <f>IF(A111="","",IF(A111&lt;DATE(2026,7,1),Settings!$B$4,Settings!$B$5))</f>
        <v/>
      </c>
      <c r="I111" s="18">
        <f>IF(OR(E111="",H111=""),"",E111*H111)</f>
        <v/>
      </c>
    </row>
    <row r="112">
      <c r="A112" s="13" t="n"/>
      <c r="B112" s="14" t="n"/>
      <c r="C112" s="15" t="n"/>
      <c r="D112" s="15" t="n"/>
      <c r="E112" s="16">
        <f>IF(OR(C112="",D112=""),"",D112-C112)</f>
        <v/>
      </c>
      <c r="F112" s="14" t="n"/>
      <c r="G112" s="14" t="n"/>
      <c r="H112" s="17">
        <f>IF(A112="","",IF(A112&lt;DATE(2026,7,1),Settings!$B$4,Settings!$B$5))</f>
        <v/>
      </c>
      <c r="I112" s="18">
        <f>IF(OR(E112="",H112=""),"",E112*H112)</f>
        <v/>
      </c>
    </row>
    <row r="113">
      <c r="A113" s="13" t="n"/>
      <c r="B113" s="14" t="n"/>
      <c r="C113" s="15" t="n"/>
      <c r="D113" s="15" t="n"/>
      <c r="E113" s="16">
        <f>IF(OR(C113="",D113=""),"",D113-C113)</f>
        <v/>
      </c>
      <c r="F113" s="14" t="n"/>
      <c r="G113" s="14" t="n"/>
      <c r="H113" s="17">
        <f>IF(A113="","",IF(A113&lt;DATE(2026,7,1),Settings!$B$4,Settings!$B$5))</f>
        <v/>
      </c>
      <c r="I113" s="18">
        <f>IF(OR(E113="",H113=""),"",E113*H113)</f>
        <v/>
      </c>
    </row>
    <row r="114">
      <c r="A114" s="13" t="n"/>
      <c r="B114" s="14" t="n"/>
      <c r="C114" s="15" t="n"/>
      <c r="D114" s="15" t="n"/>
      <c r="E114" s="16">
        <f>IF(OR(C114="",D114=""),"",D114-C114)</f>
        <v/>
      </c>
      <c r="F114" s="14" t="n"/>
      <c r="G114" s="14" t="n"/>
      <c r="H114" s="17">
        <f>IF(A114="","",IF(A114&lt;DATE(2026,7,1),Settings!$B$4,Settings!$B$5))</f>
        <v/>
      </c>
      <c r="I114" s="18">
        <f>IF(OR(E114="",H114=""),"",E114*H114)</f>
        <v/>
      </c>
    </row>
    <row r="115">
      <c r="A115" s="13" t="n"/>
      <c r="B115" s="14" t="n"/>
      <c r="C115" s="15" t="n"/>
      <c r="D115" s="15" t="n"/>
      <c r="E115" s="16">
        <f>IF(OR(C115="",D115=""),"",D115-C115)</f>
        <v/>
      </c>
      <c r="F115" s="14" t="n"/>
      <c r="G115" s="14" t="n"/>
      <c r="H115" s="17">
        <f>IF(A115="","",IF(A115&lt;DATE(2026,7,1),Settings!$B$4,Settings!$B$5))</f>
        <v/>
      </c>
      <c r="I115" s="18">
        <f>IF(OR(E115="",H115=""),"",E115*H115)</f>
        <v/>
      </c>
    </row>
    <row r="116">
      <c r="A116" s="13" t="n"/>
      <c r="B116" s="14" t="n"/>
      <c r="C116" s="15" t="n"/>
      <c r="D116" s="15" t="n"/>
      <c r="E116" s="16">
        <f>IF(OR(C116="",D116=""),"",D116-C116)</f>
        <v/>
      </c>
      <c r="F116" s="14" t="n"/>
      <c r="G116" s="14" t="n"/>
      <c r="H116" s="17">
        <f>IF(A116="","",IF(A116&lt;DATE(2026,7,1),Settings!$B$4,Settings!$B$5))</f>
        <v/>
      </c>
      <c r="I116" s="18">
        <f>IF(OR(E116="",H116=""),"",E116*H116)</f>
        <v/>
      </c>
    </row>
    <row r="117">
      <c r="A117" s="13" t="n"/>
      <c r="B117" s="14" t="n"/>
      <c r="C117" s="15" t="n"/>
      <c r="D117" s="15" t="n"/>
      <c r="E117" s="16">
        <f>IF(OR(C117="",D117=""),"",D117-C117)</f>
        <v/>
      </c>
      <c r="F117" s="14" t="n"/>
      <c r="G117" s="14" t="n"/>
      <c r="H117" s="17">
        <f>IF(A117="","",IF(A117&lt;DATE(2026,7,1),Settings!$B$4,Settings!$B$5))</f>
        <v/>
      </c>
      <c r="I117" s="18">
        <f>IF(OR(E117="",H117=""),"",E117*H117)</f>
        <v/>
      </c>
    </row>
    <row r="118">
      <c r="A118" s="13" t="n"/>
      <c r="B118" s="14" t="n"/>
      <c r="C118" s="15" t="n"/>
      <c r="D118" s="15" t="n"/>
      <c r="E118" s="16">
        <f>IF(OR(C118="",D118=""),"",D118-C118)</f>
        <v/>
      </c>
      <c r="F118" s="14" t="n"/>
      <c r="G118" s="14" t="n"/>
      <c r="H118" s="17">
        <f>IF(A118="","",IF(A118&lt;DATE(2026,7,1),Settings!$B$4,Settings!$B$5))</f>
        <v/>
      </c>
      <c r="I118" s="18">
        <f>IF(OR(E118="",H118=""),"",E118*H118)</f>
        <v/>
      </c>
    </row>
    <row r="119">
      <c r="A119" s="13" t="n"/>
      <c r="B119" s="14" t="n"/>
      <c r="C119" s="15" t="n"/>
      <c r="D119" s="15" t="n"/>
      <c r="E119" s="16">
        <f>IF(OR(C119="",D119=""),"",D119-C119)</f>
        <v/>
      </c>
      <c r="F119" s="14" t="n"/>
      <c r="G119" s="14" t="n"/>
      <c r="H119" s="17">
        <f>IF(A119="","",IF(A119&lt;DATE(2026,7,1),Settings!$B$4,Settings!$B$5))</f>
        <v/>
      </c>
      <c r="I119" s="18">
        <f>IF(OR(E119="",H119=""),"",E119*H119)</f>
        <v/>
      </c>
    </row>
    <row r="120">
      <c r="A120" s="13" t="n"/>
      <c r="B120" s="14" t="n"/>
      <c r="C120" s="15" t="n"/>
      <c r="D120" s="15" t="n"/>
      <c r="E120" s="16">
        <f>IF(OR(C120="",D120=""),"",D120-C120)</f>
        <v/>
      </c>
      <c r="F120" s="14" t="n"/>
      <c r="G120" s="14" t="n"/>
      <c r="H120" s="17">
        <f>IF(A120="","",IF(A120&lt;DATE(2026,7,1),Settings!$B$4,Settings!$B$5))</f>
        <v/>
      </c>
      <c r="I120" s="18">
        <f>IF(OR(E120="",H120=""),"",E120*H120)</f>
        <v/>
      </c>
    </row>
    <row r="121">
      <c r="A121" s="13" t="n"/>
      <c r="B121" s="14" t="n"/>
      <c r="C121" s="15" t="n"/>
      <c r="D121" s="15" t="n"/>
      <c r="E121" s="16">
        <f>IF(OR(C121="",D121=""),"",D121-C121)</f>
        <v/>
      </c>
      <c r="F121" s="14" t="n"/>
      <c r="G121" s="14" t="n"/>
      <c r="H121" s="17">
        <f>IF(A121="","",IF(A121&lt;DATE(2026,7,1),Settings!$B$4,Settings!$B$5))</f>
        <v/>
      </c>
      <c r="I121" s="18">
        <f>IF(OR(E121="",H121=""),"",E121*H121)</f>
        <v/>
      </c>
    </row>
    <row r="122">
      <c r="A122" s="13" t="n"/>
      <c r="B122" s="14" t="n"/>
      <c r="C122" s="15" t="n"/>
      <c r="D122" s="15" t="n"/>
      <c r="E122" s="16">
        <f>IF(OR(C122="",D122=""),"",D122-C122)</f>
        <v/>
      </c>
      <c r="F122" s="14" t="n"/>
      <c r="G122" s="14" t="n"/>
      <c r="H122" s="17">
        <f>IF(A122="","",IF(A122&lt;DATE(2026,7,1),Settings!$B$4,Settings!$B$5))</f>
        <v/>
      </c>
      <c r="I122" s="18">
        <f>IF(OR(E122="",H122=""),"",E122*H122)</f>
        <v/>
      </c>
    </row>
    <row r="123">
      <c r="A123" s="13" t="n"/>
      <c r="B123" s="14" t="n"/>
      <c r="C123" s="15" t="n"/>
      <c r="D123" s="15" t="n"/>
      <c r="E123" s="16">
        <f>IF(OR(C123="",D123=""),"",D123-C123)</f>
        <v/>
      </c>
      <c r="F123" s="14" t="n"/>
      <c r="G123" s="14" t="n"/>
      <c r="H123" s="17">
        <f>IF(A123="","",IF(A123&lt;DATE(2026,7,1),Settings!$B$4,Settings!$B$5))</f>
        <v/>
      </c>
      <c r="I123" s="18">
        <f>IF(OR(E123="",H123=""),"",E123*H123)</f>
        <v/>
      </c>
    </row>
    <row r="124">
      <c r="A124" s="13" t="n"/>
      <c r="B124" s="14" t="n"/>
      <c r="C124" s="15" t="n"/>
      <c r="D124" s="15" t="n"/>
      <c r="E124" s="16">
        <f>IF(OR(C124="",D124=""),"",D124-C124)</f>
        <v/>
      </c>
      <c r="F124" s="14" t="n"/>
      <c r="G124" s="14" t="n"/>
      <c r="H124" s="17">
        <f>IF(A124="","",IF(A124&lt;DATE(2026,7,1),Settings!$B$4,Settings!$B$5))</f>
        <v/>
      </c>
      <c r="I124" s="18">
        <f>IF(OR(E124="",H124=""),"",E124*H124)</f>
        <v/>
      </c>
    </row>
    <row r="125">
      <c r="A125" s="13" t="n"/>
      <c r="B125" s="14" t="n"/>
      <c r="C125" s="15" t="n"/>
      <c r="D125" s="15" t="n"/>
      <c r="E125" s="16">
        <f>IF(OR(C125="",D125=""),"",D125-C125)</f>
        <v/>
      </c>
      <c r="F125" s="14" t="n"/>
      <c r="G125" s="14" t="n"/>
      <c r="H125" s="17">
        <f>IF(A125="","",IF(A125&lt;DATE(2026,7,1),Settings!$B$4,Settings!$B$5))</f>
        <v/>
      </c>
      <c r="I125" s="18">
        <f>IF(OR(E125="",H125=""),"",E125*H125)</f>
        <v/>
      </c>
    </row>
    <row r="126">
      <c r="A126" s="13" t="n"/>
      <c r="B126" s="14" t="n"/>
      <c r="C126" s="15" t="n"/>
      <c r="D126" s="15" t="n"/>
      <c r="E126" s="16">
        <f>IF(OR(C126="",D126=""),"",D126-C126)</f>
        <v/>
      </c>
      <c r="F126" s="14" t="n"/>
      <c r="G126" s="14" t="n"/>
      <c r="H126" s="17">
        <f>IF(A126="","",IF(A126&lt;DATE(2026,7,1),Settings!$B$4,Settings!$B$5))</f>
        <v/>
      </c>
      <c r="I126" s="18">
        <f>IF(OR(E126="",H126=""),"",E126*H126)</f>
        <v/>
      </c>
    </row>
    <row r="127">
      <c r="A127" s="13" t="n"/>
      <c r="B127" s="14" t="n"/>
      <c r="C127" s="15" t="n"/>
      <c r="D127" s="15" t="n"/>
      <c r="E127" s="16">
        <f>IF(OR(C127="",D127=""),"",D127-C127)</f>
        <v/>
      </c>
      <c r="F127" s="14" t="n"/>
      <c r="G127" s="14" t="n"/>
      <c r="H127" s="17">
        <f>IF(A127="","",IF(A127&lt;DATE(2026,7,1),Settings!$B$4,Settings!$B$5))</f>
        <v/>
      </c>
      <c r="I127" s="18">
        <f>IF(OR(E127="",H127=""),"",E127*H127)</f>
        <v/>
      </c>
    </row>
    <row r="128">
      <c r="A128" s="13" t="n"/>
      <c r="B128" s="14" t="n"/>
      <c r="C128" s="15" t="n"/>
      <c r="D128" s="15" t="n"/>
      <c r="E128" s="16">
        <f>IF(OR(C128="",D128=""),"",D128-C128)</f>
        <v/>
      </c>
      <c r="F128" s="14" t="n"/>
      <c r="G128" s="14" t="n"/>
      <c r="H128" s="17">
        <f>IF(A128="","",IF(A128&lt;DATE(2026,7,1),Settings!$B$4,Settings!$B$5))</f>
        <v/>
      </c>
      <c r="I128" s="18">
        <f>IF(OR(E128="",H128=""),"",E128*H128)</f>
        <v/>
      </c>
    </row>
    <row r="129">
      <c r="A129" s="13" t="n"/>
      <c r="B129" s="14" t="n"/>
      <c r="C129" s="15" t="n"/>
      <c r="D129" s="15" t="n"/>
      <c r="E129" s="16">
        <f>IF(OR(C129="",D129=""),"",D129-C129)</f>
        <v/>
      </c>
      <c r="F129" s="14" t="n"/>
      <c r="G129" s="14" t="n"/>
      <c r="H129" s="17">
        <f>IF(A129="","",IF(A129&lt;DATE(2026,7,1),Settings!$B$4,Settings!$B$5))</f>
        <v/>
      </c>
      <c r="I129" s="18">
        <f>IF(OR(E129="",H129=""),"",E129*H129)</f>
        <v/>
      </c>
    </row>
    <row r="130">
      <c r="A130" s="13" t="n"/>
      <c r="B130" s="14" t="n"/>
      <c r="C130" s="15" t="n"/>
      <c r="D130" s="15" t="n"/>
      <c r="E130" s="16">
        <f>IF(OR(C130="",D130=""),"",D130-C130)</f>
        <v/>
      </c>
      <c r="F130" s="14" t="n"/>
      <c r="G130" s="14" t="n"/>
      <c r="H130" s="17">
        <f>IF(A130="","",IF(A130&lt;DATE(2026,7,1),Settings!$B$4,Settings!$B$5))</f>
        <v/>
      </c>
      <c r="I130" s="18">
        <f>IF(OR(E130="",H130=""),"",E130*H130)</f>
        <v/>
      </c>
    </row>
    <row r="131">
      <c r="A131" s="13" t="n"/>
      <c r="B131" s="14" t="n"/>
      <c r="C131" s="15" t="n"/>
      <c r="D131" s="15" t="n"/>
      <c r="E131" s="16">
        <f>IF(OR(C131="",D131=""),"",D131-C131)</f>
        <v/>
      </c>
      <c r="F131" s="14" t="n"/>
      <c r="G131" s="14" t="n"/>
      <c r="H131" s="17">
        <f>IF(A131="","",IF(A131&lt;DATE(2026,7,1),Settings!$B$4,Settings!$B$5))</f>
        <v/>
      </c>
      <c r="I131" s="18">
        <f>IF(OR(E131="",H131=""),"",E131*H131)</f>
        <v/>
      </c>
    </row>
    <row r="132">
      <c r="A132" s="13" t="n"/>
      <c r="B132" s="14" t="n"/>
      <c r="C132" s="15" t="n"/>
      <c r="D132" s="15" t="n"/>
      <c r="E132" s="16">
        <f>IF(OR(C132="",D132=""),"",D132-C132)</f>
        <v/>
      </c>
      <c r="F132" s="14" t="n"/>
      <c r="G132" s="14" t="n"/>
      <c r="H132" s="17">
        <f>IF(A132="","",IF(A132&lt;DATE(2026,7,1),Settings!$B$4,Settings!$B$5))</f>
        <v/>
      </c>
      <c r="I132" s="18">
        <f>IF(OR(E132="",H132=""),"",E132*H132)</f>
        <v/>
      </c>
    </row>
    <row r="133">
      <c r="A133" s="13" t="n"/>
      <c r="B133" s="14" t="n"/>
      <c r="C133" s="15" t="n"/>
      <c r="D133" s="15" t="n"/>
      <c r="E133" s="16">
        <f>IF(OR(C133="",D133=""),"",D133-C133)</f>
        <v/>
      </c>
      <c r="F133" s="14" t="n"/>
      <c r="G133" s="14" t="n"/>
      <c r="H133" s="17">
        <f>IF(A133="","",IF(A133&lt;DATE(2026,7,1),Settings!$B$4,Settings!$B$5))</f>
        <v/>
      </c>
      <c r="I133" s="18">
        <f>IF(OR(E133="",H133=""),"",E133*H133)</f>
        <v/>
      </c>
    </row>
    <row r="134">
      <c r="A134" s="13" t="n"/>
      <c r="B134" s="14" t="n"/>
      <c r="C134" s="15" t="n"/>
      <c r="D134" s="15" t="n"/>
      <c r="E134" s="16">
        <f>IF(OR(C134="",D134=""),"",D134-C134)</f>
        <v/>
      </c>
      <c r="F134" s="14" t="n"/>
      <c r="G134" s="14" t="n"/>
      <c r="H134" s="17">
        <f>IF(A134="","",IF(A134&lt;DATE(2026,7,1),Settings!$B$4,Settings!$B$5))</f>
        <v/>
      </c>
      <c r="I134" s="18">
        <f>IF(OR(E134="",H134=""),"",E134*H134)</f>
        <v/>
      </c>
    </row>
    <row r="135">
      <c r="A135" s="13" t="n"/>
      <c r="B135" s="14" t="n"/>
      <c r="C135" s="15" t="n"/>
      <c r="D135" s="15" t="n"/>
      <c r="E135" s="16">
        <f>IF(OR(C135="",D135=""),"",D135-C135)</f>
        <v/>
      </c>
      <c r="F135" s="14" t="n"/>
      <c r="G135" s="14" t="n"/>
      <c r="H135" s="17">
        <f>IF(A135="","",IF(A135&lt;DATE(2026,7,1),Settings!$B$4,Settings!$B$5))</f>
        <v/>
      </c>
      <c r="I135" s="18">
        <f>IF(OR(E135="",H135=""),"",E135*H135)</f>
        <v/>
      </c>
    </row>
    <row r="136">
      <c r="A136" s="13" t="n"/>
      <c r="B136" s="14" t="n"/>
      <c r="C136" s="15" t="n"/>
      <c r="D136" s="15" t="n"/>
      <c r="E136" s="16">
        <f>IF(OR(C136="",D136=""),"",D136-C136)</f>
        <v/>
      </c>
      <c r="F136" s="14" t="n"/>
      <c r="G136" s="14" t="n"/>
      <c r="H136" s="17">
        <f>IF(A136="","",IF(A136&lt;DATE(2026,7,1),Settings!$B$4,Settings!$B$5))</f>
        <v/>
      </c>
      <c r="I136" s="18">
        <f>IF(OR(E136="",H136=""),"",E136*H136)</f>
        <v/>
      </c>
    </row>
    <row r="137">
      <c r="A137" s="13" t="n"/>
      <c r="B137" s="14" t="n"/>
      <c r="C137" s="15" t="n"/>
      <c r="D137" s="15" t="n"/>
      <c r="E137" s="16">
        <f>IF(OR(C137="",D137=""),"",D137-C137)</f>
        <v/>
      </c>
      <c r="F137" s="14" t="n"/>
      <c r="G137" s="14" t="n"/>
      <c r="H137" s="17">
        <f>IF(A137="","",IF(A137&lt;DATE(2026,7,1),Settings!$B$4,Settings!$B$5))</f>
        <v/>
      </c>
      <c r="I137" s="18">
        <f>IF(OR(E137="",H137=""),"",E137*H137)</f>
        <v/>
      </c>
    </row>
    <row r="138">
      <c r="A138" s="13" t="n"/>
      <c r="B138" s="14" t="n"/>
      <c r="C138" s="15" t="n"/>
      <c r="D138" s="15" t="n"/>
      <c r="E138" s="16">
        <f>IF(OR(C138="",D138=""),"",D138-C138)</f>
        <v/>
      </c>
      <c r="F138" s="14" t="n"/>
      <c r="G138" s="14" t="n"/>
      <c r="H138" s="17">
        <f>IF(A138="","",IF(A138&lt;DATE(2026,7,1),Settings!$B$4,Settings!$B$5))</f>
        <v/>
      </c>
      <c r="I138" s="18">
        <f>IF(OR(E138="",H138=""),"",E138*H138)</f>
        <v/>
      </c>
    </row>
    <row r="139">
      <c r="A139" s="13" t="n"/>
      <c r="B139" s="14" t="n"/>
      <c r="C139" s="15" t="n"/>
      <c r="D139" s="15" t="n"/>
      <c r="E139" s="16">
        <f>IF(OR(C139="",D139=""),"",D139-C139)</f>
        <v/>
      </c>
      <c r="F139" s="14" t="n"/>
      <c r="G139" s="14" t="n"/>
      <c r="H139" s="17">
        <f>IF(A139="","",IF(A139&lt;DATE(2026,7,1),Settings!$B$4,Settings!$B$5))</f>
        <v/>
      </c>
      <c r="I139" s="18">
        <f>IF(OR(E139="",H139=""),"",E139*H139)</f>
        <v/>
      </c>
    </row>
    <row r="140">
      <c r="A140" s="13" t="n"/>
      <c r="B140" s="14" t="n"/>
      <c r="C140" s="15" t="n"/>
      <c r="D140" s="15" t="n"/>
      <c r="E140" s="16">
        <f>IF(OR(C140="",D140=""),"",D140-C140)</f>
        <v/>
      </c>
      <c r="F140" s="14" t="n"/>
      <c r="G140" s="14" t="n"/>
      <c r="H140" s="17">
        <f>IF(A140="","",IF(A140&lt;DATE(2026,7,1),Settings!$B$4,Settings!$B$5))</f>
        <v/>
      </c>
      <c r="I140" s="18">
        <f>IF(OR(E140="",H140=""),"",E140*H140)</f>
        <v/>
      </c>
    </row>
    <row r="141">
      <c r="A141" s="13" t="n"/>
      <c r="B141" s="14" t="n"/>
      <c r="C141" s="15" t="n"/>
      <c r="D141" s="15" t="n"/>
      <c r="E141" s="16">
        <f>IF(OR(C141="",D141=""),"",D141-C141)</f>
        <v/>
      </c>
      <c r="F141" s="14" t="n"/>
      <c r="G141" s="14" t="n"/>
      <c r="H141" s="17">
        <f>IF(A141="","",IF(A141&lt;DATE(2026,7,1),Settings!$B$4,Settings!$B$5))</f>
        <v/>
      </c>
      <c r="I141" s="18">
        <f>IF(OR(E141="",H141=""),"",E141*H141)</f>
        <v/>
      </c>
    </row>
    <row r="142">
      <c r="A142" s="13" t="n"/>
      <c r="B142" s="14" t="n"/>
      <c r="C142" s="15" t="n"/>
      <c r="D142" s="15" t="n"/>
      <c r="E142" s="16">
        <f>IF(OR(C142="",D142=""),"",D142-C142)</f>
        <v/>
      </c>
      <c r="F142" s="14" t="n"/>
      <c r="G142" s="14" t="n"/>
      <c r="H142" s="17">
        <f>IF(A142="","",IF(A142&lt;DATE(2026,7,1),Settings!$B$4,Settings!$B$5))</f>
        <v/>
      </c>
      <c r="I142" s="18">
        <f>IF(OR(E142="",H142=""),"",E142*H142)</f>
        <v/>
      </c>
    </row>
    <row r="143">
      <c r="A143" s="13" t="n"/>
      <c r="B143" s="14" t="n"/>
      <c r="C143" s="15" t="n"/>
      <c r="D143" s="15" t="n"/>
      <c r="E143" s="16">
        <f>IF(OR(C143="",D143=""),"",D143-C143)</f>
        <v/>
      </c>
      <c r="F143" s="14" t="n"/>
      <c r="G143" s="14" t="n"/>
      <c r="H143" s="17">
        <f>IF(A143="","",IF(A143&lt;DATE(2026,7,1),Settings!$B$4,Settings!$B$5))</f>
        <v/>
      </c>
      <c r="I143" s="18">
        <f>IF(OR(E143="",H143=""),"",E143*H143)</f>
        <v/>
      </c>
    </row>
    <row r="144">
      <c r="A144" s="13" t="n"/>
      <c r="B144" s="14" t="n"/>
      <c r="C144" s="15" t="n"/>
      <c r="D144" s="15" t="n"/>
      <c r="E144" s="16">
        <f>IF(OR(C144="",D144=""),"",D144-C144)</f>
        <v/>
      </c>
      <c r="F144" s="14" t="n"/>
      <c r="G144" s="14" t="n"/>
      <c r="H144" s="17">
        <f>IF(A144="","",IF(A144&lt;DATE(2026,7,1),Settings!$B$4,Settings!$B$5))</f>
        <v/>
      </c>
      <c r="I144" s="18">
        <f>IF(OR(E144="",H144=""),"",E144*H144)</f>
        <v/>
      </c>
    </row>
    <row r="145">
      <c r="A145" s="13" t="n"/>
      <c r="B145" s="14" t="n"/>
      <c r="C145" s="15" t="n"/>
      <c r="D145" s="15" t="n"/>
      <c r="E145" s="16">
        <f>IF(OR(C145="",D145=""),"",D145-C145)</f>
        <v/>
      </c>
      <c r="F145" s="14" t="n"/>
      <c r="G145" s="14" t="n"/>
      <c r="H145" s="17">
        <f>IF(A145="","",IF(A145&lt;DATE(2026,7,1),Settings!$B$4,Settings!$B$5))</f>
        <v/>
      </c>
      <c r="I145" s="18">
        <f>IF(OR(E145="",H145=""),"",E145*H145)</f>
        <v/>
      </c>
    </row>
    <row r="146">
      <c r="A146" s="13" t="n"/>
      <c r="B146" s="14" t="n"/>
      <c r="C146" s="15" t="n"/>
      <c r="D146" s="15" t="n"/>
      <c r="E146" s="16">
        <f>IF(OR(C146="",D146=""),"",D146-C146)</f>
        <v/>
      </c>
      <c r="F146" s="14" t="n"/>
      <c r="G146" s="14" t="n"/>
      <c r="H146" s="17">
        <f>IF(A146="","",IF(A146&lt;DATE(2026,7,1),Settings!$B$4,Settings!$B$5))</f>
        <v/>
      </c>
      <c r="I146" s="18">
        <f>IF(OR(E146="",H146=""),"",E146*H146)</f>
        <v/>
      </c>
    </row>
    <row r="147">
      <c r="A147" s="13" t="n"/>
      <c r="B147" s="14" t="n"/>
      <c r="C147" s="15" t="n"/>
      <c r="D147" s="15" t="n"/>
      <c r="E147" s="16">
        <f>IF(OR(C147="",D147=""),"",D147-C147)</f>
        <v/>
      </c>
      <c r="F147" s="14" t="n"/>
      <c r="G147" s="14" t="n"/>
      <c r="H147" s="17">
        <f>IF(A147="","",IF(A147&lt;DATE(2026,7,1),Settings!$B$4,Settings!$B$5))</f>
        <v/>
      </c>
      <c r="I147" s="18">
        <f>IF(OR(E147="",H147=""),"",E147*H147)</f>
        <v/>
      </c>
    </row>
    <row r="148">
      <c r="A148" s="13" t="n"/>
      <c r="B148" s="14" t="n"/>
      <c r="C148" s="15" t="n"/>
      <c r="D148" s="15" t="n"/>
      <c r="E148" s="16">
        <f>IF(OR(C148="",D148=""),"",D148-C148)</f>
        <v/>
      </c>
      <c r="F148" s="14" t="n"/>
      <c r="G148" s="14" t="n"/>
      <c r="H148" s="17">
        <f>IF(A148="","",IF(A148&lt;DATE(2026,7,1),Settings!$B$4,Settings!$B$5))</f>
        <v/>
      </c>
      <c r="I148" s="18">
        <f>IF(OR(E148="",H148=""),"",E148*H148)</f>
        <v/>
      </c>
    </row>
    <row r="149">
      <c r="A149" s="13" t="n"/>
      <c r="B149" s="14" t="n"/>
      <c r="C149" s="15" t="n"/>
      <c r="D149" s="15" t="n"/>
      <c r="E149" s="16">
        <f>IF(OR(C149="",D149=""),"",D149-C149)</f>
        <v/>
      </c>
      <c r="F149" s="14" t="n"/>
      <c r="G149" s="14" t="n"/>
      <c r="H149" s="17">
        <f>IF(A149="","",IF(A149&lt;DATE(2026,7,1),Settings!$B$4,Settings!$B$5))</f>
        <v/>
      </c>
      <c r="I149" s="18">
        <f>IF(OR(E149="",H149=""),"",E149*H149)</f>
        <v/>
      </c>
    </row>
    <row r="150">
      <c r="A150" s="13" t="n"/>
      <c r="B150" s="14" t="n"/>
      <c r="C150" s="15" t="n"/>
      <c r="D150" s="15" t="n"/>
      <c r="E150" s="16">
        <f>IF(OR(C150="",D150=""),"",D150-C150)</f>
        <v/>
      </c>
      <c r="F150" s="14" t="n"/>
      <c r="G150" s="14" t="n"/>
      <c r="H150" s="17">
        <f>IF(A150="","",IF(A150&lt;DATE(2026,7,1),Settings!$B$4,Settings!$B$5))</f>
        <v/>
      </c>
      <c r="I150" s="18">
        <f>IF(OR(E150="",H150=""),"",E150*H150)</f>
        <v/>
      </c>
    </row>
    <row r="151">
      <c r="A151" s="13" t="n"/>
      <c r="B151" s="14" t="n"/>
      <c r="C151" s="15" t="n"/>
      <c r="D151" s="15" t="n"/>
      <c r="E151" s="16">
        <f>IF(OR(C151="",D151=""),"",D151-C151)</f>
        <v/>
      </c>
      <c r="F151" s="14" t="n"/>
      <c r="G151" s="14" t="n"/>
      <c r="H151" s="17">
        <f>IF(A151="","",IF(A151&lt;DATE(2026,7,1),Settings!$B$4,Settings!$B$5))</f>
        <v/>
      </c>
      <c r="I151" s="18">
        <f>IF(OR(E151="",H151=""),"",E151*H151)</f>
        <v/>
      </c>
    </row>
    <row r="152">
      <c r="A152" s="13" t="n"/>
      <c r="B152" s="14" t="n"/>
      <c r="C152" s="15" t="n"/>
      <c r="D152" s="15" t="n"/>
      <c r="E152" s="16">
        <f>IF(OR(C152="",D152=""),"",D152-C152)</f>
        <v/>
      </c>
      <c r="F152" s="14" t="n"/>
      <c r="G152" s="14" t="n"/>
      <c r="H152" s="17">
        <f>IF(A152="","",IF(A152&lt;DATE(2026,7,1),Settings!$B$4,Settings!$B$5))</f>
        <v/>
      </c>
      <c r="I152" s="18">
        <f>IF(OR(E152="",H152=""),"",E152*H152)</f>
        <v/>
      </c>
    </row>
    <row r="153">
      <c r="A153" s="13" t="n"/>
      <c r="B153" s="14" t="n"/>
      <c r="C153" s="15" t="n"/>
      <c r="D153" s="15" t="n"/>
      <c r="E153" s="16">
        <f>IF(OR(C153="",D153=""),"",D153-C153)</f>
        <v/>
      </c>
      <c r="F153" s="14" t="n"/>
      <c r="G153" s="14" t="n"/>
      <c r="H153" s="17">
        <f>IF(A153="","",IF(A153&lt;DATE(2026,7,1),Settings!$B$4,Settings!$B$5))</f>
        <v/>
      </c>
      <c r="I153" s="18">
        <f>IF(OR(E153="",H153=""),"",E153*H153)</f>
        <v/>
      </c>
    </row>
    <row r="154">
      <c r="A154" s="13" t="n"/>
      <c r="B154" s="14" t="n"/>
      <c r="C154" s="15" t="n"/>
      <c r="D154" s="15" t="n"/>
      <c r="E154" s="16">
        <f>IF(OR(C154="",D154=""),"",D154-C154)</f>
        <v/>
      </c>
      <c r="F154" s="14" t="n"/>
      <c r="G154" s="14" t="n"/>
      <c r="H154" s="17">
        <f>IF(A154="","",IF(A154&lt;DATE(2026,7,1),Settings!$B$4,Settings!$B$5))</f>
        <v/>
      </c>
      <c r="I154" s="18">
        <f>IF(OR(E154="",H154=""),"",E154*H154)</f>
        <v/>
      </c>
    </row>
    <row r="155">
      <c r="A155" s="13" t="n"/>
      <c r="B155" s="14" t="n"/>
      <c r="C155" s="15" t="n"/>
      <c r="D155" s="15" t="n"/>
      <c r="E155" s="16">
        <f>IF(OR(C155="",D155=""),"",D155-C155)</f>
        <v/>
      </c>
      <c r="F155" s="14" t="n"/>
      <c r="G155" s="14" t="n"/>
      <c r="H155" s="17">
        <f>IF(A155="","",IF(A155&lt;DATE(2026,7,1),Settings!$B$4,Settings!$B$5))</f>
        <v/>
      </c>
      <c r="I155" s="18">
        <f>IF(OR(E155="",H155=""),"",E155*H155)</f>
        <v/>
      </c>
    </row>
    <row r="156">
      <c r="A156" s="13" t="n"/>
      <c r="B156" s="14" t="n"/>
      <c r="C156" s="15" t="n"/>
      <c r="D156" s="15" t="n"/>
      <c r="E156" s="16">
        <f>IF(OR(C156="",D156=""),"",D156-C156)</f>
        <v/>
      </c>
      <c r="F156" s="14" t="n"/>
      <c r="G156" s="14" t="n"/>
      <c r="H156" s="17">
        <f>IF(A156="","",IF(A156&lt;DATE(2026,7,1),Settings!$B$4,Settings!$B$5))</f>
        <v/>
      </c>
      <c r="I156" s="18">
        <f>IF(OR(E156="",H156=""),"",E156*H156)</f>
        <v/>
      </c>
    </row>
    <row r="157">
      <c r="A157" s="13" t="n"/>
      <c r="B157" s="14" t="n"/>
      <c r="C157" s="15" t="n"/>
      <c r="D157" s="15" t="n"/>
      <c r="E157" s="16">
        <f>IF(OR(C157="",D157=""),"",D157-C157)</f>
        <v/>
      </c>
      <c r="F157" s="14" t="n"/>
      <c r="G157" s="14" t="n"/>
      <c r="H157" s="17">
        <f>IF(A157="","",IF(A157&lt;DATE(2026,7,1),Settings!$B$4,Settings!$B$5))</f>
        <v/>
      </c>
      <c r="I157" s="18">
        <f>IF(OR(E157="",H157=""),"",E157*H157)</f>
        <v/>
      </c>
    </row>
    <row r="158">
      <c r="A158" s="13" t="n"/>
      <c r="B158" s="14" t="n"/>
      <c r="C158" s="15" t="n"/>
      <c r="D158" s="15" t="n"/>
      <c r="E158" s="16">
        <f>IF(OR(C158="",D158=""),"",D158-C158)</f>
        <v/>
      </c>
      <c r="F158" s="14" t="n"/>
      <c r="G158" s="14" t="n"/>
      <c r="H158" s="17">
        <f>IF(A158="","",IF(A158&lt;DATE(2026,7,1),Settings!$B$4,Settings!$B$5))</f>
        <v/>
      </c>
      <c r="I158" s="18">
        <f>IF(OR(E158="",H158=""),"",E158*H158)</f>
        <v/>
      </c>
    </row>
    <row r="159">
      <c r="A159" s="13" t="n"/>
      <c r="B159" s="14" t="n"/>
      <c r="C159" s="15" t="n"/>
      <c r="D159" s="15" t="n"/>
      <c r="E159" s="16">
        <f>IF(OR(C159="",D159=""),"",D159-C159)</f>
        <v/>
      </c>
      <c r="F159" s="14" t="n"/>
      <c r="G159" s="14" t="n"/>
      <c r="H159" s="17">
        <f>IF(A159="","",IF(A159&lt;DATE(2026,7,1),Settings!$B$4,Settings!$B$5))</f>
        <v/>
      </c>
      <c r="I159" s="18">
        <f>IF(OR(E159="",H159=""),"",E159*H159)</f>
        <v/>
      </c>
    </row>
    <row r="160">
      <c r="A160" s="13" t="n"/>
      <c r="B160" s="14" t="n"/>
      <c r="C160" s="15" t="n"/>
      <c r="D160" s="15" t="n"/>
      <c r="E160" s="16">
        <f>IF(OR(C160="",D160=""),"",D160-C160)</f>
        <v/>
      </c>
      <c r="F160" s="14" t="n"/>
      <c r="G160" s="14" t="n"/>
      <c r="H160" s="17">
        <f>IF(A160="","",IF(A160&lt;DATE(2026,7,1),Settings!$B$4,Settings!$B$5))</f>
        <v/>
      </c>
      <c r="I160" s="18">
        <f>IF(OR(E160="",H160=""),"",E160*H160)</f>
        <v/>
      </c>
    </row>
    <row r="161">
      <c r="A161" s="13" t="n"/>
      <c r="B161" s="14" t="n"/>
      <c r="C161" s="15" t="n"/>
      <c r="D161" s="15" t="n"/>
      <c r="E161" s="16">
        <f>IF(OR(C161="",D161=""),"",D161-C161)</f>
        <v/>
      </c>
      <c r="F161" s="14" t="n"/>
      <c r="G161" s="14" t="n"/>
      <c r="H161" s="17">
        <f>IF(A161="","",IF(A161&lt;DATE(2026,7,1),Settings!$B$4,Settings!$B$5))</f>
        <v/>
      </c>
      <c r="I161" s="18">
        <f>IF(OR(E161="",H161=""),"",E161*H161)</f>
        <v/>
      </c>
    </row>
    <row r="162">
      <c r="A162" s="13" t="n"/>
      <c r="B162" s="14" t="n"/>
      <c r="C162" s="15" t="n"/>
      <c r="D162" s="15" t="n"/>
      <c r="E162" s="16">
        <f>IF(OR(C162="",D162=""),"",D162-C162)</f>
        <v/>
      </c>
      <c r="F162" s="14" t="n"/>
      <c r="G162" s="14" t="n"/>
      <c r="H162" s="17">
        <f>IF(A162="","",IF(A162&lt;DATE(2026,7,1),Settings!$B$4,Settings!$B$5))</f>
        <v/>
      </c>
      <c r="I162" s="18">
        <f>IF(OR(E162="",H162=""),"",E162*H162)</f>
        <v/>
      </c>
    </row>
    <row r="163">
      <c r="A163" s="13" t="n"/>
      <c r="B163" s="14" t="n"/>
      <c r="C163" s="15" t="n"/>
      <c r="D163" s="15" t="n"/>
      <c r="E163" s="16">
        <f>IF(OR(C163="",D163=""),"",D163-C163)</f>
        <v/>
      </c>
      <c r="F163" s="14" t="n"/>
      <c r="G163" s="14" t="n"/>
      <c r="H163" s="17">
        <f>IF(A163="","",IF(A163&lt;DATE(2026,7,1),Settings!$B$4,Settings!$B$5))</f>
        <v/>
      </c>
      <c r="I163" s="18">
        <f>IF(OR(E163="",H163=""),"",E163*H163)</f>
        <v/>
      </c>
    </row>
    <row r="164">
      <c r="A164" s="13" t="n"/>
      <c r="B164" s="14" t="n"/>
      <c r="C164" s="15" t="n"/>
      <c r="D164" s="15" t="n"/>
      <c r="E164" s="16">
        <f>IF(OR(C164="",D164=""),"",D164-C164)</f>
        <v/>
      </c>
      <c r="F164" s="14" t="n"/>
      <c r="G164" s="14" t="n"/>
      <c r="H164" s="17">
        <f>IF(A164="","",IF(A164&lt;DATE(2026,7,1),Settings!$B$4,Settings!$B$5))</f>
        <v/>
      </c>
      <c r="I164" s="18">
        <f>IF(OR(E164="",H164=""),"",E164*H164)</f>
        <v/>
      </c>
    </row>
    <row r="165">
      <c r="A165" s="13" t="n"/>
      <c r="B165" s="14" t="n"/>
      <c r="C165" s="15" t="n"/>
      <c r="D165" s="15" t="n"/>
      <c r="E165" s="16">
        <f>IF(OR(C165="",D165=""),"",D165-C165)</f>
        <v/>
      </c>
      <c r="F165" s="14" t="n"/>
      <c r="G165" s="14" t="n"/>
      <c r="H165" s="17">
        <f>IF(A165="","",IF(A165&lt;DATE(2026,7,1),Settings!$B$4,Settings!$B$5))</f>
        <v/>
      </c>
      <c r="I165" s="18">
        <f>IF(OR(E165="",H165=""),"",E165*H165)</f>
        <v/>
      </c>
    </row>
    <row r="166">
      <c r="A166" s="13" t="n"/>
      <c r="B166" s="14" t="n"/>
      <c r="C166" s="15" t="n"/>
      <c r="D166" s="15" t="n"/>
      <c r="E166" s="16">
        <f>IF(OR(C166="",D166=""),"",D166-C166)</f>
        <v/>
      </c>
      <c r="F166" s="14" t="n"/>
      <c r="G166" s="14" t="n"/>
      <c r="H166" s="17">
        <f>IF(A166="","",IF(A166&lt;DATE(2026,7,1),Settings!$B$4,Settings!$B$5))</f>
        <v/>
      </c>
      <c r="I166" s="18">
        <f>IF(OR(E166="",H166=""),"",E166*H166)</f>
        <v/>
      </c>
    </row>
    <row r="167">
      <c r="A167" s="13" t="n"/>
      <c r="B167" s="14" t="n"/>
      <c r="C167" s="15" t="n"/>
      <c r="D167" s="15" t="n"/>
      <c r="E167" s="16">
        <f>IF(OR(C167="",D167=""),"",D167-C167)</f>
        <v/>
      </c>
      <c r="F167" s="14" t="n"/>
      <c r="G167" s="14" t="n"/>
      <c r="H167" s="17">
        <f>IF(A167="","",IF(A167&lt;DATE(2026,7,1),Settings!$B$4,Settings!$B$5))</f>
        <v/>
      </c>
      <c r="I167" s="18">
        <f>IF(OR(E167="",H167=""),"",E167*H167)</f>
        <v/>
      </c>
    </row>
    <row r="168">
      <c r="A168" s="13" t="n"/>
      <c r="B168" s="14" t="n"/>
      <c r="C168" s="15" t="n"/>
      <c r="D168" s="15" t="n"/>
      <c r="E168" s="16">
        <f>IF(OR(C168="",D168=""),"",D168-C168)</f>
        <v/>
      </c>
      <c r="F168" s="14" t="n"/>
      <c r="G168" s="14" t="n"/>
      <c r="H168" s="17">
        <f>IF(A168="","",IF(A168&lt;DATE(2026,7,1),Settings!$B$4,Settings!$B$5))</f>
        <v/>
      </c>
      <c r="I168" s="18">
        <f>IF(OR(E168="",H168=""),"",E168*H168)</f>
        <v/>
      </c>
    </row>
    <row r="169">
      <c r="A169" s="13" t="n"/>
      <c r="B169" s="14" t="n"/>
      <c r="C169" s="15" t="n"/>
      <c r="D169" s="15" t="n"/>
      <c r="E169" s="16">
        <f>IF(OR(C169="",D169=""),"",D169-C169)</f>
        <v/>
      </c>
      <c r="F169" s="14" t="n"/>
      <c r="G169" s="14" t="n"/>
      <c r="H169" s="17">
        <f>IF(A169="","",IF(A169&lt;DATE(2026,7,1),Settings!$B$4,Settings!$B$5))</f>
        <v/>
      </c>
      <c r="I169" s="18">
        <f>IF(OR(E169="",H169=""),"",E169*H169)</f>
        <v/>
      </c>
    </row>
    <row r="170">
      <c r="A170" s="13" t="n"/>
      <c r="B170" s="14" t="n"/>
      <c r="C170" s="15" t="n"/>
      <c r="D170" s="15" t="n"/>
      <c r="E170" s="16">
        <f>IF(OR(C170="",D170=""),"",D170-C170)</f>
        <v/>
      </c>
      <c r="F170" s="14" t="n"/>
      <c r="G170" s="14" t="n"/>
      <c r="H170" s="17">
        <f>IF(A170="","",IF(A170&lt;DATE(2026,7,1),Settings!$B$4,Settings!$B$5))</f>
        <v/>
      </c>
      <c r="I170" s="18">
        <f>IF(OR(E170="",H170=""),"",E170*H170)</f>
        <v/>
      </c>
    </row>
    <row r="171">
      <c r="A171" s="13" t="n"/>
      <c r="B171" s="14" t="n"/>
      <c r="C171" s="15" t="n"/>
      <c r="D171" s="15" t="n"/>
      <c r="E171" s="16">
        <f>IF(OR(C171="",D171=""),"",D171-C171)</f>
        <v/>
      </c>
      <c r="F171" s="14" t="n"/>
      <c r="G171" s="14" t="n"/>
      <c r="H171" s="17">
        <f>IF(A171="","",IF(A171&lt;DATE(2026,7,1),Settings!$B$4,Settings!$B$5))</f>
        <v/>
      </c>
      <c r="I171" s="18">
        <f>IF(OR(E171="",H171=""),"",E171*H171)</f>
        <v/>
      </c>
    </row>
    <row r="172">
      <c r="A172" s="13" t="n"/>
      <c r="B172" s="14" t="n"/>
      <c r="C172" s="15" t="n"/>
      <c r="D172" s="15" t="n"/>
      <c r="E172" s="16">
        <f>IF(OR(C172="",D172=""),"",D172-C172)</f>
        <v/>
      </c>
      <c r="F172" s="14" t="n"/>
      <c r="G172" s="14" t="n"/>
      <c r="H172" s="17">
        <f>IF(A172="","",IF(A172&lt;DATE(2026,7,1),Settings!$B$4,Settings!$B$5))</f>
        <v/>
      </c>
      <c r="I172" s="18">
        <f>IF(OR(E172="",H172=""),"",E172*H172)</f>
        <v/>
      </c>
    </row>
    <row r="173">
      <c r="A173" s="13" t="n"/>
      <c r="B173" s="14" t="n"/>
      <c r="C173" s="15" t="n"/>
      <c r="D173" s="15" t="n"/>
      <c r="E173" s="16">
        <f>IF(OR(C173="",D173=""),"",D173-C173)</f>
        <v/>
      </c>
      <c r="F173" s="14" t="n"/>
      <c r="G173" s="14" t="n"/>
      <c r="H173" s="17">
        <f>IF(A173="","",IF(A173&lt;DATE(2026,7,1),Settings!$B$4,Settings!$B$5))</f>
        <v/>
      </c>
      <c r="I173" s="18">
        <f>IF(OR(E173="",H173=""),"",E173*H173)</f>
        <v/>
      </c>
    </row>
    <row r="174">
      <c r="A174" s="13" t="n"/>
      <c r="B174" s="14" t="n"/>
      <c r="C174" s="15" t="n"/>
      <c r="D174" s="15" t="n"/>
      <c r="E174" s="16">
        <f>IF(OR(C174="",D174=""),"",D174-C174)</f>
        <v/>
      </c>
      <c r="F174" s="14" t="n"/>
      <c r="G174" s="14" t="n"/>
      <c r="H174" s="17">
        <f>IF(A174="","",IF(A174&lt;DATE(2026,7,1),Settings!$B$4,Settings!$B$5))</f>
        <v/>
      </c>
      <c r="I174" s="18">
        <f>IF(OR(E174="",H174=""),"",E174*H174)</f>
        <v/>
      </c>
    </row>
    <row r="175">
      <c r="A175" s="13" t="n"/>
      <c r="B175" s="14" t="n"/>
      <c r="C175" s="15" t="n"/>
      <c r="D175" s="15" t="n"/>
      <c r="E175" s="16">
        <f>IF(OR(C175="",D175=""),"",D175-C175)</f>
        <v/>
      </c>
      <c r="F175" s="14" t="n"/>
      <c r="G175" s="14" t="n"/>
      <c r="H175" s="17">
        <f>IF(A175="","",IF(A175&lt;DATE(2026,7,1),Settings!$B$4,Settings!$B$5))</f>
        <v/>
      </c>
      <c r="I175" s="18">
        <f>IF(OR(E175="",H175=""),"",E175*H175)</f>
        <v/>
      </c>
    </row>
    <row r="176">
      <c r="A176" s="13" t="n"/>
      <c r="B176" s="14" t="n"/>
      <c r="C176" s="15" t="n"/>
      <c r="D176" s="15" t="n"/>
      <c r="E176" s="16">
        <f>IF(OR(C176="",D176=""),"",D176-C176)</f>
        <v/>
      </c>
      <c r="F176" s="14" t="n"/>
      <c r="G176" s="14" t="n"/>
      <c r="H176" s="17">
        <f>IF(A176="","",IF(A176&lt;DATE(2026,7,1),Settings!$B$4,Settings!$B$5))</f>
        <v/>
      </c>
      <c r="I176" s="18">
        <f>IF(OR(E176="",H176=""),"",E176*H176)</f>
        <v/>
      </c>
    </row>
    <row r="177">
      <c r="A177" s="13" t="n"/>
      <c r="B177" s="14" t="n"/>
      <c r="C177" s="15" t="n"/>
      <c r="D177" s="15" t="n"/>
      <c r="E177" s="16">
        <f>IF(OR(C177="",D177=""),"",D177-C177)</f>
        <v/>
      </c>
      <c r="F177" s="14" t="n"/>
      <c r="G177" s="14" t="n"/>
      <c r="H177" s="17">
        <f>IF(A177="","",IF(A177&lt;DATE(2026,7,1),Settings!$B$4,Settings!$B$5))</f>
        <v/>
      </c>
      <c r="I177" s="18">
        <f>IF(OR(E177="",H177=""),"",E177*H177)</f>
        <v/>
      </c>
    </row>
    <row r="178">
      <c r="A178" s="13" t="n"/>
      <c r="B178" s="14" t="n"/>
      <c r="C178" s="15" t="n"/>
      <c r="D178" s="15" t="n"/>
      <c r="E178" s="16">
        <f>IF(OR(C178="",D178=""),"",D178-C178)</f>
        <v/>
      </c>
      <c r="F178" s="14" t="n"/>
      <c r="G178" s="14" t="n"/>
      <c r="H178" s="17">
        <f>IF(A178="","",IF(A178&lt;DATE(2026,7,1),Settings!$B$4,Settings!$B$5))</f>
        <v/>
      </c>
      <c r="I178" s="18">
        <f>IF(OR(E178="",H178=""),"",E178*H178)</f>
        <v/>
      </c>
    </row>
    <row r="179">
      <c r="A179" s="13" t="n"/>
      <c r="B179" s="14" t="n"/>
      <c r="C179" s="15" t="n"/>
      <c r="D179" s="15" t="n"/>
      <c r="E179" s="16">
        <f>IF(OR(C179="",D179=""),"",D179-C179)</f>
        <v/>
      </c>
      <c r="F179" s="14" t="n"/>
      <c r="G179" s="14" t="n"/>
      <c r="H179" s="17">
        <f>IF(A179="","",IF(A179&lt;DATE(2026,7,1),Settings!$B$4,Settings!$B$5))</f>
        <v/>
      </c>
      <c r="I179" s="18">
        <f>IF(OR(E179="",H179=""),"",E179*H179)</f>
        <v/>
      </c>
    </row>
    <row r="180">
      <c r="A180" s="13" t="n"/>
      <c r="B180" s="14" t="n"/>
      <c r="C180" s="15" t="n"/>
      <c r="D180" s="15" t="n"/>
      <c r="E180" s="16">
        <f>IF(OR(C180="",D180=""),"",D180-C180)</f>
        <v/>
      </c>
      <c r="F180" s="14" t="n"/>
      <c r="G180" s="14" t="n"/>
      <c r="H180" s="17">
        <f>IF(A180="","",IF(A180&lt;DATE(2026,7,1),Settings!$B$4,Settings!$B$5))</f>
        <v/>
      </c>
      <c r="I180" s="18">
        <f>IF(OR(E180="",H180=""),"",E180*H180)</f>
        <v/>
      </c>
    </row>
    <row r="181">
      <c r="A181" s="13" t="n"/>
      <c r="B181" s="14" t="n"/>
      <c r="C181" s="15" t="n"/>
      <c r="D181" s="15" t="n"/>
      <c r="E181" s="16">
        <f>IF(OR(C181="",D181=""),"",D181-C181)</f>
        <v/>
      </c>
      <c r="F181" s="14" t="n"/>
      <c r="G181" s="14" t="n"/>
      <c r="H181" s="17">
        <f>IF(A181="","",IF(A181&lt;DATE(2026,7,1),Settings!$B$4,Settings!$B$5))</f>
        <v/>
      </c>
      <c r="I181" s="18">
        <f>IF(OR(E181="",H181=""),"",E181*H181)</f>
        <v/>
      </c>
    </row>
    <row r="182">
      <c r="A182" s="13" t="n"/>
      <c r="B182" s="14" t="n"/>
      <c r="C182" s="15" t="n"/>
      <c r="D182" s="15" t="n"/>
      <c r="E182" s="16">
        <f>IF(OR(C182="",D182=""),"",D182-C182)</f>
        <v/>
      </c>
      <c r="F182" s="14" t="n"/>
      <c r="G182" s="14" t="n"/>
      <c r="H182" s="17">
        <f>IF(A182="","",IF(A182&lt;DATE(2026,7,1),Settings!$B$4,Settings!$B$5))</f>
        <v/>
      </c>
      <c r="I182" s="18">
        <f>IF(OR(E182="",H182=""),"",E182*H182)</f>
        <v/>
      </c>
    </row>
    <row r="183">
      <c r="A183" s="13" t="n"/>
      <c r="B183" s="14" t="n"/>
      <c r="C183" s="15" t="n"/>
      <c r="D183" s="15" t="n"/>
      <c r="E183" s="16">
        <f>IF(OR(C183="",D183=""),"",D183-C183)</f>
        <v/>
      </c>
      <c r="F183" s="14" t="n"/>
      <c r="G183" s="14" t="n"/>
      <c r="H183" s="17">
        <f>IF(A183="","",IF(A183&lt;DATE(2026,7,1),Settings!$B$4,Settings!$B$5))</f>
        <v/>
      </c>
      <c r="I183" s="18">
        <f>IF(OR(E183="",H183=""),"",E183*H183)</f>
        <v/>
      </c>
    </row>
    <row r="184">
      <c r="A184" s="13" t="n"/>
      <c r="B184" s="14" t="n"/>
      <c r="C184" s="15" t="n"/>
      <c r="D184" s="15" t="n"/>
      <c r="E184" s="16">
        <f>IF(OR(C184="",D184=""),"",D184-C184)</f>
        <v/>
      </c>
      <c r="F184" s="14" t="n"/>
      <c r="G184" s="14" t="n"/>
      <c r="H184" s="17">
        <f>IF(A184="","",IF(A184&lt;DATE(2026,7,1),Settings!$B$4,Settings!$B$5))</f>
        <v/>
      </c>
      <c r="I184" s="18">
        <f>IF(OR(E184="",H184=""),"",E184*H184)</f>
        <v/>
      </c>
    </row>
    <row r="185">
      <c r="A185" s="13" t="n"/>
      <c r="B185" s="14" t="n"/>
      <c r="C185" s="15" t="n"/>
      <c r="D185" s="15" t="n"/>
      <c r="E185" s="16">
        <f>IF(OR(C185="",D185=""),"",D185-C185)</f>
        <v/>
      </c>
      <c r="F185" s="14" t="n"/>
      <c r="G185" s="14" t="n"/>
      <c r="H185" s="17">
        <f>IF(A185="","",IF(A185&lt;DATE(2026,7,1),Settings!$B$4,Settings!$B$5))</f>
        <v/>
      </c>
      <c r="I185" s="18">
        <f>IF(OR(E185="",H185=""),"",E185*H185)</f>
        <v/>
      </c>
    </row>
    <row r="186">
      <c r="A186" s="13" t="n"/>
      <c r="B186" s="14" t="n"/>
      <c r="C186" s="15" t="n"/>
      <c r="D186" s="15" t="n"/>
      <c r="E186" s="16">
        <f>IF(OR(C186="",D186=""),"",D186-C186)</f>
        <v/>
      </c>
      <c r="F186" s="14" t="n"/>
      <c r="G186" s="14" t="n"/>
      <c r="H186" s="17">
        <f>IF(A186="","",IF(A186&lt;DATE(2026,7,1),Settings!$B$4,Settings!$B$5))</f>
        <v/>
      </c>
      <c r="I186" s="18">
        <f>IF(OR(E186="",H186=""),"",E186*H186)</f>
        <v/>
      </c>
    </row>
    <row r="187">
      <c r="A187" s="13" t="n"/>
      <c r="B187" s="14" t="n"/>
      <c r="C187" s="15" t="n"/>
      <c r="D187" s="15" t="n"/>
      <c r="E187" s="16">
        <f>IF(OR(C187="",D187=""),"",D187-C187)</f>
        <v/>
      </c>
      <c r="F187" s="14" t="n"/>
      <c r="G187" s="14" t="n"/>
      <c r="H187" s="17">
        <f>IF(A187="","",IF(A187&lt;DATE(2026,7,1),Settings!$B$4,Settings!$B$5))</f>
        <v/>
      </c>
      <c r="I187" s="18">
        <f>IF(OR(E187="",H187=""),"",E187*H187)</f>
        <v/>
      </c>
    </row>
    <row r="188">
      <c r="A188" s="13" t="n"/>
      <c r="B188" s="14" t="n"/>
      <c r="C188" s="15" t="n"/>
      <c r="D188" s="15" t="n"/>
      <c r="E188" s="16">
        <f>IF(OR(C188="",D188=""),"",D188-C188)</f>
        <v/>
      </c>
      <c r="F188" s="14" t="n"/>
      <c r="G188" s="14" t="n"/>
      <c r="H188" s="17">
        <f>IF(A188="","",IF(A188&lt;DATE(2026,7,1),Settings!$B$4,Settings!$B$5))</f>
        <v/>
      </c>
      <c r="I188" s="18">
        <f>IF(OR(E188="",H188=""),"",E188*H188)</f>
        <v/>
      </c>
    </row>
    <row r="189">
      <c r="A189" s="13" t="n"/>
      <c r="B189" s="14" t="n"/>
      <c r="C189" s="15" t="n"/>
      <c r="D189" s="15" t="n"/>
      <c r="E189" s="16">
        <f>IF(OR(C189="",D189=""),"",D189-C189)</f>
        <v/>
      </c>
      <c r="F189" s="14" t="n"/>
      <c r="G189" s="14" t="n"/>
      <c r="H189" s="17">
        <f>IF(A189="","",IF(A189&lt;DATE(2026,7,1),Settings!$B$4,Settings!$B$5))</f>
        <v/>
      </c>
      <c r="I189" s="18">
        <f>IF(OR(E189="",H189=""),"",E189*H189)</f>
        <v/>
      </c>
    </row>
    <row r="190">
      <c r="A190" s="13" t="n"/>
      <c r="B190" s="14" t="n"/>
      <c r="C190" s="15" t="n"/>
      <c r="D190" s="15" t="n"/>
      <c r="E190" s="16">
        <f>IF(OR(C190="",D190=""),"",D190-C190)</f>
        <v/>
      </c>
      <c r="F190" s="14" t="n"/>
      <c r="G190" s="14" t="n"/>
      <c r="H190" s="17">
        <f>IF(A190="","",IF(A190&lt;DATE(2026,7,1),Settings!$B$4,Settings!$B$5))</f>
        <v/>
      </c>
      <c r="I190" s="18">
        <f>IF(OR(E190="",H190=""),"",E190*H190)</f>
        <v/>
      </c>
    </row>
    <row r="191">
      <c r="A191" s="13" t="n"/>
      <c r="B191" s="14" t="n"/>
      <c r="C191" s="15" t="n"/>
      <c r="D191" s="15" t="n"/>
      <c r="E191" s="16">
        <f>IF(OR(C191="",D191=""),"",D191-C191)</f>
        <v/>
      </c>
      <c r="F191" s="14" t="n"/>
      <c r="G191" s="14" t="n"/>
      <c r="H191" s="17">
        <f>IF(A191="","",IF(A191&lt;DATE(2026,7,1),Settings!$B$4,Settings!$B$5))</f>
        <v/>
      </c>
      <c r="I191" s="18">
        <f>IF(OR(E191="",H191=""),"",E191*H191)</f>
        <v/>
      </c>
    </row>
    <row r="192">
      <c r="A192" s="13" t="n"/>
      <c r="B192" s="14" t="n"/>
      <c r="C192" s="15" t="n"/>
      <c r="D192" s="15" t="n"/>
      <c r="E192" s="16">
        <f>IF(OR(C192="",D192=""),"",D192-C192)</f>
        <v/>
      </c>
      <c r="F192" s="14" t="n"/>
      <c r="G192" s="14" t="n"/>
      <c r="H192" s="17">
        <f>IF(A192="","",IF(A192&lt;DATE(2026,7,1),Settings!$B$4,Settings!$B$5))</f>
        <v/>
      </c>
      <c r="I192" s="18">
        <f>IF(OR(E192="",H192=""),"",E192*H192)</f>
        <v/>
      </c>
    </row>
    <row r="193">
      <c r="A193" s="13" t="n"/>
      <c r="B193" s="14" t="n"/>
      <c r="C193" s="15" t="n"/>
      <c r="D193" s="15" t="n"/>
      <c r="E193" s="16">
        <f>IF(OR(C193="",D193=""),"",D193-C193)</f>
        <v/>
      </c>
      <c r="F193" s="14" t="n"/>
      <c r="G193" s="14" t="n"/>
      <c r="H193" s="17">
        <f>IF(A193="","",IF(A193&lt;DATE(2026,7,1),Settings!$B$4,Settings!$B$5))</f>
        <v/>
      </c>
      <c r="I193" s="18">
        <f>IF(OR(E193="",H193=""),"",E193*H193)</f>
        <v/>
      </c>
    </row>
    <row r="194">
      <c r="A194" s="13" t="n"/>
      <c r="B194" s="14" t="n"/>
      <c r="C194" s="15" t="n"/>
      <c r="D194" s="15" t="n"/>
      <c r="E194" s="16">
        <f>IF(OR(C194="",D194=""),"",D194-C194)</f>
        <v/>
      </c>
      <c r="F194" s="14" t="n"/>
      <c r="G194" s="14" t="n"/>
      <c r="H194" s="17">
        <f>IF(A194="","",IF(A194&lt;DATE(2026,7,1),Settings!$B$4,Settings!$B$5))</f>
        <v/>
      </c>
      <c r="I194" s="18">
        <f>IF(OR(E194="",H194=""),"",E194*H194)</f>
        <v/>
      </c>
    </row>
    <row r="195">
      <c r="A195" s="13" t="n"/>
      <c r="B195" s="14" t="n"/>
      <c r="C195" s="15" t="n"/>
      <c r="D195" s="15" t="n"/>
      <c r="E195" s="16">
        <f>IF(OR(C195="",D195=""),"",D195-C195)</f>
        <v/>
      </c>
      <c r="F195" s="14" t="n"/>
      <c r="G195" s="14" t="n"/>
      <c r="H195" s="17">
        <f>IF(A195="","",IF(A195&lt;DATE(2026,7,1),Settings!$B$4,Settings!$B$5))</f>
        <v/>
      </c>
      <c r="I195" s="18">
        <f>IF(OR(E195="",H195=""),"",E195*H195)</f>
        <v/>
      </c>
    </row>
    <row r="196">
      <c r="A196" s="13" t="n"/>
      <c r="B196" s="14" t="n"/>
      <c r="C196" s="15" t="n"/>
      <c r="D196" s="15" t="n"/>
      <c r="E196" s="16">
        <f>IF(OR(C196="",D196=""),"",D196-C196)</f>
        <v/>
      </c>
      <c r="F196" s="14" t="n"/>
      <c r="G196" s="14" t="n"/>
      <c r="H196" s="17">
        <f>IF(A196="","",IF(A196&lt;DATE(2026,7,1),Settings!$B$4,Settings!$B$5))</f>
        <v/>
      </c>
      <c r="I196" s="18">
        <f>IF(OR(E196="",H196=""),"",E196*H196)</f>
        <v/>
      </c>
    </row>
    <row r="197">
      <c r="A197" s="13" t="n"/>
      <c r="B197" s="14" t="n"/>
      <c r="C197" s="15" t="n"/>
      <c r="D197" s="15" t="n"/>
      <c r="E197" s="16">
        <f>IF(OR(C197="",D197=""),"",D197-C197)</f>
        <v/>
      </c>
      <c r="F197" s="14" t="n"/>
      <c r="G197" s="14" t="n"/>
      <c r="H197" s="17">
        <f>IF(A197="","",IF(A197&lt;DATE(2026,7,1),Settings!$B$4,Settings!$B$5))</f>
        <v/>
      </c>
      <c r="I197" s="18">
        <f>IF(OR(E197="",H197=""),"",E197*H197)</f>
        <v/>
      </c>
    </row>
    <row r="198">
      <c r="A198" s="13" t="n"/>
      <c r="B198" s="14" t="n"/>
      <c r="C198" s="15" t="n"/>
      <c r="D198" s="15" t="n"/>
      <c r="E198" s="16">
        <f>IF(OR(C198="",D198=""),"",D198-C198)</f>
        <v/>
      </c>
      <c r="F198" s="14" t="n"/>
      <c r="G198" s="14" t="n"/>
      <c r="H198" s="17">
        <f>IF(A198="","",IF(A198&lt;DATE(2026,7,1),Settings!$B$4,Settings!$B$5))</f>
        <v/>
      </c>
      <c r="I198" s="18">
        <f>IF(OR(E198="",H198=""),"",E198*H198)</f>
        <v/>
      </c>
    </row>
    <row r="199">
      <c r="A199" s="13" t="n"/>
      <c r="B199" s="14" t="n"/>
      <c r="C199" s="15" t="n"/>
      <c r="D199" s="15" t="n"/>
      <c r="E199" s="16">
        <f>IF(OR(C199="",D199=""),"",D199-C199)</f>
        <v/>
      </c>
      <c r="F199" s="14" t="n"/>
      <c r="G199" s="14" t="n"/>
      <c r="H199" s="17">
        <f>IF(A199="","",IF(A199&lt;DATE(2026,7,1),Settings!$B$4,Settings!$B$5))</f>
        <v/>
      </c>
      <c r="I199" s="18">
        <f>IF(OR(E199="",H199=""),"",E199*H199)</f>
        <v/>
      </c>
    </row>
    <row r="200">
      <c r="A200" s="13" t="n"/>
      <c r="B200" s="14" t="n"/>
      <c r="C200" s="15" t="n"/>
      <c r="D200" s="15" t="n"/>
      <c r="E200" s="16">
        <f>IF(OR(C200="",D200=""),"",D200-C200)</f>
        <v/>
      </c>
      <c r="F200" s="14" t="n"/>
      <c r="G200" s="14" t="n"/>
      <c r="H200" s="17">
        <f>IF(A200="","",IF(A200&lt;DATE(2026,7,1),Settings!$B$4,Settings!$B$5))</f>
        <v/>
      </c>
      <c r="I200" s="18">
        <f>IF(OR(E200="",H200=""),"",E200*H200)</f>
        <v/>
      </c>
    </row>
    <row r="201">
      <c r="A201" s="13" t="n"/>
      <c r="B201" s="14" t="n"/>
      <c r="C201" s="15" t="n"/>
      <c r="D201" s="15" t="n"/>
      <c r="E201" s="16">
        <f>IF(OR(C201="",D201=""),"",D201-C201)</f>
        <v/>
      </c>
      <c r="F201" s="14" t="n"/>
      <c r="G201" s="14" t="n"/>
      <c r="H201" s="17">
        <f>IF(A201="","",IF(A201&lt;DATE(2026,7,1),Settings!$B$4,Settings!$B$5))</f>
        <v/>
      </c>
      <c r="I201" s="18">
        <f>IF(OR(E201="",H201=""),"",E201*H201)</f>
        <v/>
      </c>
    </row>
    <row r="202">
      <c r="A202" s="13" t="n"/>
      <c r="B202" s="14" t="n"/>
      <c r="C202" s="15" t="n"/>
      <c r="D202" s="15" t="n"/>
      <c r="E202" s="16">
        <f>IF(OR(C202="",D202=""),"",D202-C202)</f>
        <v/>
      </c>
      <c r="F202" s="14" t="n"/>
      <c r="G202" s="14" t="n"/>
      <c r="H202" s="17">
        <f>IF(A202="","",IF(A202&lt;DATE(2026,7,1),Settings!$B$4,Settings!$B$5))</f>
        <v/>
      </c>
      <c r="I202" s="18">
        <f>IF(OR(E202="",H202=""),"",E202*H202)</f>
        <v/>
      </c>
    </row>
    <row r="203">
      <c r="A203" s="13" t="n"/>
      <c r="B203" s="14" t="n"/>
      <c r="C203" s="15" t="n"/>
      <c r="D203" s="15" t="n"/>
      <c r="E203" s="16">
        <f>IF(OR(C203="",D203=""),"",D203-C203)</f>
        <v/>
      </c>
      <c r="F203" s="14" t="n"/>
      <c r="G203" s="14" t="n"/>
      <c r="H203" s="17">
        <f>IF(A203="","",IF(A203&lt;DATE(2026,7,1),Settings!$B$4,Settings!$B$5))</f>
        <v/>
      </c>
      <c r="I203" s="18">
        <f>IF(OR(E203="",H203=""),"",E203*H203)</f>
        <v/>
      </c>
    </row>
    <row r="204">
      <c r="A204" s="13" t="n"/>
      <c r="B204" s="14" t="n"/>
      <c r="C204" s="15" t="n"/>
      <c r="D204" s="15" t="n"/>
      <c r="E204" s="16">
        <f>IF(OR(C204="",D204=""),"",D204-C204)</f>
        <v/>
      </c>
      <c r="F204" s="14" t="n"/>
      <c r="G204" s="14" t="n"/>
      <c r="H204" s="17">
        <f>IF(A204="","",IF(A204&lt;DATE(2026,7,1),Settings!$B$4,Settings!$B$5))</f>
        <v/>
      </c>
      <c r="I204" s="18">
        <f>IF(OR(E204="",H204=""),"",E204*H204)</f>
        <v/>
      </c>
    </row>
  </sheetData>
  <autoFilter ref="A4:I204"/>
  <mergeCells count="2">
    <mergeCell ref="A1:I1"/>
    <mergeCell ref="A2:I2"/>
  </mergeCells>
  <conditionalFormatting sqref="E5:E204">
    <cfRule type="expression" priority="1" dxfId="0">
      <formula>E5&lt;0</formula>
    </cfRule>
  </conditionalFormatting>
  <printOptions horizontalCentered="1"/>
  <pageMargins left="0.5" right="0.5" top="0.75" bottom="0.75" header="0.5" footer="0.5"/>
  <pageSetup orientation="landscape" paperSize="3" fitToHeight="0" fitToWidth="1"/>
  <headerFooter>
    <oddHeader>&amp;LGigMath Pro Kit — Mileage log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4A46B"/>
    <outlinePr summaryBelow="1" summaryRight="1"/>
    <pageSetUpPr fitToPage="1"/>
  </sheetPr>
  <dimension ref="A1:L110"/>
  <sheetViews>
    <sheetView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  <col width="26" customWidth="1" min="10" max="10"/>
    <col width="14" customWidth="1" min="11" max="11"/>
    <col width="20" customWidth="1" min="12" max="12"/>
  </cols>
  <sheetData>
    <row r="1">
      <c r="A1" s="1" t="inlineStr">
        <is>
          <t>Weekly earnings</t>
        </is>
      </c>
    </row>
    <row r="2" ht="32" customHeight="1">
      <c r="A2" s="2" t="inlineStr">
        <is>
          <t>One row per platform per week. Cash left subtracts fees and fuel you type. It does not subtract the mileage-rate estimate. That estimate is a tax figure, and only if you use the standard mileage method.</t>
        </is>
      </c>
    </row>
    <row r="4">
      <c r="A4" s="3" t="inlineStr">
        <is>
          <t>Week starting</t>
        </is>
      </c>
      <c r="B4" s="3" t="inlineStr">
        <is>
          <t>Platform</t>
        </is>
      </c>
      <c r="C4" s="3" t="inlineStr">
        <is>
          <t>Pay</t>
        </is>
      </c>
      <c r="D4" s="3" t="inlineStr">
        <is>
          <t>Tips</t>
        </is>
      </c>
      <c r="E4" s="3" t="inlineStr">
        <is>
          <t>Fees</t>
        </is>
      </c>
      <c r="F4" s="3" t="inlineStr">
        <is>
          <t>Business miles</t>
        </is>
      </c>
      <c r="G4" s="3" t="inlineStr">
        <is>
          <t>Online hours</t>
        </is>
      </c>
      <c r="H4" s="3" t="inlineStr">
        <is>
          <t>Fuel paid</t>
        </is>
      </c>
      <c r="I4" s="3" t="inlineStr">
        <is>
          <t>Gross</t>
        </is>
      </c>
      <c r="J4" s="3" t="inlineStr">
        <is>
          <t>Mileage deduction estimate</t>
        </is>
      </c>
      <c r="K4" s="3" t="inlineStr">
        <is>
          <t>Cash left</t>
        </is>
      </c>
      <c r="L4" s="3" t="inlineStr">
        <is>
          <t>Cash per online hour</t>
        </is>
      </c>
    </row>
    <row r="5">
      <c r="A5" s="13" t="n"/>
      <c r="B5" s="14" t="n"/>
      <c r="C5" s="19" t="n"/>
      <c r="D5" s="19" t="n"/>
      <c r="E5" s="19" t="n"/>
      <c r="F5" s="20" t="n"/>
      <c r="G5" s="21" t="n"/>
      <c r="H5" s="19" t="n"/>
      <c r="I5" s="18">
        <f>IF(COUNT(C5:D5)=0,"",C5+D5)</f>
        <v/>
      </c>
      <c r="J5" s="18">
        <f>IF(OR(A5="",F5=""),"",F5*IF(A5&lt;DATE(2026,7,1),Settings!$B$4,Settings!$B$5))</f>
        <v/>
      </c>
      <c r="K5" s="18">
        <f>IF(I5="","",I5-SUM(E5,H5))</f>
        <v/>
      </c>
      <c r="L5" s="18">
        <f>IF(OR(K5="",G5="",G5=0),"",K5/G5)</f>
        <v/>
      </c>
    </row>
    <row r="6">
      <c r="A6" s="13" t="n"/>
      <c r="B6" s="14" t="n"/>
      <c r="C6" s="19" t="n"/>
      <c r="D6" s="19" t="n"/>
      <c r="E6" s="19" t="n"/>
      <c r="F6" s="20" t="n"/>
      <c r="G6" s="21" t="n"/>
      <c r="H6" s="19" t="n"/>
      <c r="I6" s="18">
        <f>IF(COUNT(C6:D6)=0,"",C6+D6)</f>
        <v/>
      </c>
      <c r="J6" s="18">
        <f>IF(OR(A6="",F6=""),"",F6*IF(A6&lt;DATE(2026,7,1),Settings!$B$4,Settings!$B$5))</f>
        <v/>
      </c>
      <c r="K6" s="18">
        <f>IF(I6="","",I6-SUM(E6,H6))</f>
        <v/>
      </c>
      <c r="L6" s="18">
        <f>IF(OR(K6="",G6="",G6=0),"",K6/G6)</f>
        <v/>
      </c>
    </row>
    <row r="7">
      <c r="A7" s="13" t="n"/>
      <c r="B7" s="14" t="n"/>
      <c r="C7" s="19" t="n"/>
      <c r="D7" s="19" t="n"/>
      <c r="E7" s="19" t="n"/>
      <c r="F7" s="20" t="n"/>
      <c r="G7" s="21" t="n"/>
      <c r="H7" s="19" t="n"/>
      <c r="I7" s="18">
        <f>IF(COUNT(C7:D7)=0,"",C7+D7)</f>
        <v/>
      </c>
      <c r="J7" s="18">
        <f>IF(OR(A7="",F7=""),"",F7*IF(A7&lt;DATE(2026,7,1),Settings!$B$4,Settings!$B$5))</f>
        <v/>
      </c>
      <c r="K7" s="18">
        <f>IF(I7="","",I7-SUM(E7,H7))</f>
        <v/>
      </c>
      <c r="L7" s="18">
        <f>IF(OR(K7="",G7="",G7=0),"",K7/G7)</f>
        <v/>
      </c>
    </row>
    <row r="8">
      <c r="A8" s="13" t="n"/>
      <c r="B8" s="14" t="n"/>
      <c r="C8" s="19" t="n"/>
      <c r="D8" s="19" t="n"/>
      <c r="E8" s="19" t="n"/>
      <c r="F8" s="20" t="n"/>
      <c r="G8" s="21" t="n"/>
      <c r="H8" s="19" t="n"/>
      <c r="I8" s="18">
        <f>IF(COUNT(C8:D8)=0,"",C8+D8)</f>
        <v/>
      </c>
      <c r="J8" s="18">
        <f>IF(OR(A8="",F8=""),"",F8*IF(A8&lt;DATE(2026,7,1),Settings!$B$4,Settings!$B$5))</f>
        <v/>
      </c>
      <c r="K8" s="18">
        <f>IF(I8="","",I8-SUM(E8,H8))</f>
        <v/>
      </c>
      <c r="L8" s="18">
        <f>IF(OR(K8="",G8="",G8=0),"",K8/G8)</f>
        <v/>
      </c>
    </row>
    <row r="9">
      <c r="A9" s="13" t="n"/>
      <c r="B9" s="14" t="n"/>
      <c r="C9" s="19" t="n"/>
      <c r="D9" s="19" t="n"/>
      <c r="E9" s="19" t="n"/>
      <c r="F9" s="20" t="n"/>
      <c r="G9" s="21" t="n"/>
      <c r="H9" s="19" t="n"/>
      <c r="I9" s="18">
        <f>IF(COUNT(C9:D9)=0,"",C9+D9)</f>
        <v/>
      </c>
      <c r="J9" s="18">
        <f>IF(OR(A9="",F9=""),"",F9*IF(A9&lt;DATE(2026,7,1),Settings!$B$4,Settings!$B$5))</f>
        <v/>
      </c>
      <c r="K9" s="18">
        <f>IF(I9="","",I9-SUM(E9,H9))</f>
        <v/>
      </c>
      <c r="L9" s="18">
        <f>IF(OR(K9="",G9="",G9=0),"",K9/G9)</f>
        <v/>
      </c>
    </row>
    <row r="10">
      <c r="A10" s="13" t="n"/>
      <c r="B10" s="14" t="n"/>
      <c r="C10" s="19" t="n"/>
      <c r="D10" s="19" t="n"/>
      <c r="E10" s="19" t="n"/>
      <c r="F10" s="20" t="n"/>
      <c r="G10" s="21" t="n"/>
      <c r="H10" s="19" t="n"/>
      <c r="I10" s="18">
        <f>IF(COUNT(C10:D10)=0,"",C10+D10)</f>
        <v/>
      </c>
      <c r="J10" s="18">
        <f>IF(OR(A10="",F10=""),"",F10*IF(A10&lt;DATE(2026,7,1),Settings!$B$4,Settings!$B$5))</f>
        <v/>
      </c>
      <c r="K10" s="18">
        <f>IF(I10="","",I10-SUM(E10,H10))</f>
        <v/>
      </c>
      <c r="L10" s="18">
        <f>IF(OR(K10="",G10="",G10=0),"",K10/G10)</f>
        <v/>
      </c>
    </row>
    <row r="11">
      <c r="A11" s="13" t="n"/>
      <c r="B11" s="14" t="n"/>
      <c r="C11" s="19" t="n"/>
      <c r="D11" s="19" t="n"/>
      <c r="E11" s="19" t="n"/>
      <c r="F11" s="20" t="n"/>
      <c r="G11" s="21" t="n"/>
      <c r="H11" s="19" t="n"/>
      <c r="I11" s="18">
        <f>IF(COUNT(C11:D11)=0,"",C11+D11)</f>
        <v/>
      </c>
      <c r="J11" s="18">
        <f>IF(OR(A11="",F11=""),"",F11*IF(A11&lt;DATE(2026,7,1),Settings!$B$4,Settings!$B$5))</f>
        <v/>
      </c>
      <c r="K11" s="18">
        <f>IF(I11="","",I11-SUM(E11,H11))</f>
        <v/>
      </c>
      <c r="L11" s="18">
        <f>IF(OR(K11="",G11="",G11=0),"",K11/G11)</f>
        <v/>
      </c>
    </row>
    <row r="12">
      <c r="A12" s="13" t="n"/>
      <c r="B12" s="14" t="n"/>
      <c r="C12" s="19" t="n"/>
      <c r="D12" s="19" t="n"/>
      <c r="E12" s="19" t="n"/>
      <c r="F12" s="20" t="n"/>
      <c r="G12" s="21" t="n"/>
      <c r="H12" s="19" t="n"/>
      <c r="I12" s="18">
        <f>IF(COUNT(C12:D12)=0,"",C12+D12)</f>
        <v/>
      </c>
      <c r="J12" s="18">
        <f>IF(OR(A12="",F12=""),"",F12*IF(A12&lt;DATE(2026,7,1),Settings!$B$4,Settings!$B$5))</f>
        <v/>
      </c>
      <c r="K12" s="18">
        <f>IF(I12="","",I12-SUM(E12,H12))</f>
        <v/>
      </c>
      <c r="L12" s="18">
        <f>IF(OR(K12="",G12="",G12=0),"",K12/G12)</f>
        <v/>
      </c>
    </row>
    <row r="13">
      <c r="A13" s="13" t="n"/>
      <c r="B13" s="14" t="n"/>
      <c r="C13" s="19" t="n"/>
      <c r="D13" s="19" t="n"/>
      <c r="E13" s="19" t="n"/>
      <c r="F13" s="20" t="n"/>
      <c r="G13" s="21" t="n"/>
      <c r="H13" s="19" t="n"/>
      <c r="I13" s="18">
        <f>IF(COUNT(C13:D13)=0,"",C13+D13)</f>
        <v/>
      </c>
      <c r="J13" s="18">
        <f>IF(OR(A13="",F13=""),"",F13*IF(A13&lt;DATE(2026,7,1),Settings!$B$4,Settings!$B$5))</f>
        <v/>
      </c>
      <c r="K13" s="18">
        <f>IF(I13="","",I13-SUM(E13,H13))</f>
        <v/>
      </c>
      <c r="L13" s="18">
        <f>IF(OR(K13="",G13="",G13=0),"",K13/G13)</f>
        <v/>
      </c>
    </row>
    <row r="14">
      <c r="A14" s="13" t="n"/>
      <c r="B14" s="14" t="n"/>
      <c r="C14" s="19" t="n"/>
      <c r="D14" s="19" t="n"/>
      <c r="E14" s="19" t="n"/>
      <c r="F14" s="20" t="n"/>
      <c r="G14" s="21" t="n"/>
      <c r="H14" s="19" t="n"/>
      <c r="I14" s="18">
        <f>IF(COUNT(C14:D14)=0,"",C14+D14)</f>
        <v/>
      </c>
      <c r="J14" s="18">
        <f>IF(OR(A14="",F14=""),"",F14*IF(A14&lt;DATE(2026,7,1),Settings!$B$4,Settings!$B$5))</f>
        <v/>
      </c>
      <c r="K14" s="18">
        <f>IF(I14="","",I14-SUM(E14,H14))</f>
        <v/>
      </c>
      <c r="L14" s="18">
        <f>IF(OR(K14="",G14="",G14=0),"",K14/G14)</f>
        <v/>
      </c>
    </row>
    <row r="15">
      <c r="A15" s="13" t="n"/>
      <c r="B15" s="14" t="n"/>
      <c r="C15" s="19" t="n"/>
      <c r="D15" s="19" t="n"/>
      <c r="E15" s="19" t="n"/>
      <c r="F15" s="20" t="n"/>
      <c r="G15" s="21" t="n"/>
      <c r="H15" s="19" t="n"/>
      <c r="I15" s="18">
        <f>IF(COUNT(C15:D15)=0,"",C15+D15)</f>
        <v/>
      </c>
      <c r="J15" s="18">
        <f>IF(OR(A15="",F15=""),"",F15*IF(A15&lt;DATE(2026,7,1),Settings!$B$4,Settings!$B$5))</f>
        <v/>
      </c>
      <c r="K15" s="18">
        <f>IF(I15="","",I15-SUM(E15,H15))</f>
        <v/>
      </c>
      <c r="L15" s="18">
        <f>IF(OR(K15="",G15="",G15=0),"",K15/G15)</f>
        <v/>
      </c>
    </row>
    <row r="16">
      <c r="A16" s="13" t="n"/>
      <c r="B16" s="14" t="n"/>
      <c r="C16" s="19" t="n"/>
      <c r="D16" s="19" t="n"/>
      <c r="E16" s="19" t="n"/>
      <c r="F16" s="20" t="n"/>
      <c r="G16" s="21" t="n"/>
      <c r="H16" s="19" t="n"/>
      <c r="I16" s="18">
        <f>IF(COUNT(C16:D16)=0,"",C16+D16)</f>
        <v/>
      </c>
      <c r="J16" s="18">
        <f>IF(OR(A16="",F16=""),"",F16*IF(A16&lt;DATE(2026,7,1),Settings!$B$4,Settings!$B$5))</f>
        <v/>
      </c>
      <c r="K16" s="18">
        <f>IF(I16="","",I16-SUM(E16,H16))</f>
        <v/>
      </c>
      <c r="L16" s="18">
        <f>IF(OR(K16="",G16="",G16=0),"",K16/G16)</f>
        <v/>
      </c>
    </row>
    <row r="17">
      <c r="A17" s="13" t="n"/>
      <c r="B17" s="14" t="n"/>
      <c r="C17" s="19" t="n"/>
      <c r="D17" s="19" t="n"/>
      <c r="E17" s="19" t="n"/>
      <c r="F17" s="20" t="n"/>
      <c r="G17" s="21" t="n"/>
      <c r="H17" s="19" t="n"/>
      <c r="I17" s="18">
        <f>IF(COUNT(C17:D17)=0,"",C17+D17)</f>
        <v/>
      </c>
      <c r="J17" s="18">
        <f>IF(OR(A17="",F17=""),"",F17*IF(A17&lt;DATE(2026,7,1),Settings!$B$4,Settings!$B$5))</f>
        <v/>
      </c>
      <c r="K17" s="18">
        <f>IF(I17="","",I17-SUM(E17,H17))</f>
        <v/>
      </c>
      <c r="L17" s="18">
        <f>IF(OR(K17="",G17="",G17=0),"",K17/G17)</f>
        <v/>
      </c>
    </row>
    <row r="18">
      <c r="A18" s="13" t="n"/>
      <c r="B18" s="14" t="n"/>
      <c r="C18" s="19" t="n"/>
      <c r="D18" s="19" t="n"/>
      <c r="E18" s="19" t="n"/>
      <c r="F18" s="20" t="n"/>
      <c r="G18" s="21" t="n"/>
      <c r="H18" s="19" t="n"/>
      <c r="I18" s="18">
        <f>IF(COUNT(C18:D18)=0,"",C18+D18)</f>
        <v/>
      </c>
      <c r="J18" s="18">
        <f>IF(OR(A18="",F18=""),"",F18*IF(A18&lt;DATE(2026,7,1),Settings!$B$4,Settings!$B$5))</f>
        <v/>
      </c>
      <c r="K18" s="18">
        <f>IF(I18="","",I18-SUM(E18,H18))</f>
        <v/>
      </c>
      <c r="L18" s="18">
        <f>IF(OR(K18="",G18="",G18=0),"",K18/G18)</f>
        <v/>
      </c>
    </row>
    <row r="19">
      <c r="A19" s="13" t="n"/>
      <c r="B19" s="14" t="n"/>
      <c r="C19" s="19" t="n"/>
      <c r="D19" s="19" t="n"/>
      <c r="E19" s="19" t="n"/>
      <c r="F19" s="20" t="n"/>
      <c r="G19" s="21" t="n"/>
      <c r="H19" s="19" t="n"/>
      <c r="I19" s="18">
        <f>IF(COUNT(C19:D19)=0,"",C19+D19)</f>
        <v/>
      </c>
      <c r="J19" s="18">
        <f>IF(OR(A19="",F19=""),"",F19*IF(A19&lt;DATE(2026,7,1),Settings!$B$4,Settings!$B$5))</f>
        <v/>
      </c>
      <c r="K19" s="18">
        <f>IF(I19="","",I19-SUM(E19,H19))</f>
        <v/>
      </c>
      <c r="L19" s="18">
        <f>IF(OR(K19="",G19="",G19=0),"",K19/G19)</f>
        <v/>
      </c>
    </row>
    <row r="20">
      <c r="A20" s="13" t="n"/>
      <c r="B20" s="14" t="n"/>
      <c r="C20" s="19" t="n"/>
      <c r="D20" s="19" t="n"/>
      <c r="E20" s="19" t="n"/>
      <c r="F20" s="20" t="n"/>
      <c r="G20" s="21" t="n"/>
      <c r="H20" s="19" t="n"/>
      <c r="I20" s="18">
        <f>IF(COUNT(C20:D20)=0,"",C20+D20)</f>
        <v/>
      </c>
      <c r="J20" s="18">
        <f>IF(OR(A20="",F20=""),"",F20*IF(A20&lt;DATE(2026,7,1),Settings!$B$4,Settings!$B$5))</f>
        <v/>
      </c>
      <c r="K20" s="18">
        <f>IF(I20="","",I20-SUM(E20,H20))</f>
        <v/>
      </c>
      <c r="L20" s="18">
        <f>IF(OR(K20="",G20="",G20=0),"",K20/G20)</f>
        <v/>
      </c>
    </row>
    <row r="21">
      <c r="A21" s="13" t="n"/>
      <c r="B21" s="14" t="n"/>
      <c r="C21" s="19" t="n"/>
      <c r="D21" s="19" t="n"/>
      <c r="E21" s="19" t="n"/>
      <c r="F21" s="20" t="n"/>
      <c r="G21" s="21" t="n"/>
      <c r="H21" s="19" t="n"/>
      <c r="I21" s="18">
        <f>IF(COUNT(C21:D21)=0,"",C21+D21)</f>
        <v/>
      </c>
      <c r="J21" s="18">
        <f>IF(OR(A21="",F21=""),"",F21*IF(A21&lt;DATE(2026,7,1),Settings!$B$4,Settings!$B$5))</f>
        <v/>
      </c>
      <c r="K21" s="18">
        <f>IF(I21="","",I21-SUM(E21,H21))</f>
        <v/>
      </c>
      <c r="L21" s="18">
        <f>IF(OR(K21="",G21="",G21=0),"",K21/G21)</f>
        <v/>
      </c>
    </row>
    <row r="22">
      <c r="A22" s="13" t="n"/>
      <c r="B22" s="14" t="n"/>
      <c r="C22" s="19" t="n"/>
      <c r="D22" s="19" t="n"/>
      <c r="E22" s="19" t="n"/>
      <c r="F22" s="20" t="n"/>
      <c r="G22" s="21" t="n"/>
      <c r="H22" s="19" t="n"/>
      <c r="I22" s="18">
        <f>IF(COUNT(C22:D22)=0,"",C22+D22)</f>
        <v/>
      </c>
      <c r="J22" s="18">
        <f>IF(OR(A22="",F22=""),"",F22*IF(A22&lt;DATE(2026,7,1),Settings!$B$4,Settings!$B$5))</f>
        <v/>
      </c>
      <c r="K22" s="18">
        <f>IF(I22="","",I22-SUM(E22,H22))</f>
        <v/>
      </c>
      <c r="L22" s="18">
        <f>IF(OR(K22="",G22="",G22=0),"",K22/G22)</f>
        <v/>
      </c>
    </row>
    <row r="23">
      <c r="A23" s="13" t="n"/>
      <c r="B23" s="14" t="n"/>
      <c r="C23" s="19" t="n"/>
      <c r="D23" s="19" t="n"/>
      <c r="E23" s="19" t="n"/>
      <c r="F23" s="20" t="n"/>
      <c r="G23" s="21" t="n"/>
      <c r="H23" s="19" t="n"/>
      <c r="I23" s="18">
        <f>IF(COUNT(C23:D23)=0,"",C23+D23)</f>
        <v/>
      </c>
      <c r="J23" s="18">
        <f>IF(OR(A23="",F23=""),"",F23*IF(A23&lt;DATE(2026,7,1),Settings!$B$4,Settings!$B$5))</f>
        <v/>
      </c>
      <c r="K23" s="18">
        <f>IF(I23="","",I23-SUM(E23,H23))</f>
        <v/>
      </c>
      <c r="L23" s="18">
        <f>IF(OR(K23="",G23="",G23=0),"",K23/G23)</f>
        <v/>
      </c>
    </row>
    <row r="24">
      <c r="A24" s="13" t="n"/>
      <c r="B24" s="14" t="n"/>
      <c r="C24" s="19" t="n"/>
      <c r="D24" s="19" t="n"/>
      <c r="E24" s="19" t="n"/>
      <c r="F24" s="20" t="n"/>
      <c r="G24" s="21" t="n"/>
      <c r="H24" s="19" t="n"/>
      <c r="I24" s="18">
        <f>IF(COUNT(C24:D24)=0,"",C24+D24)</f>
        <v/>
      </c>
      <c r="J24" s="18">
        <f>IF(OR(A24="",F24=""),"",F24*IF(A24&lt;DATE(2026,7,1),Settings!$B$4,Settings!$B$5))</f>
        <v/>
      </c>
      <c r="K24" s="18">
        <f>IF(I24="","",I24-SUM(E24,H24))</f>
        <v/>
      </c>
      <c r="L24" s="18">
        <f>IF(OR(K24="",G24="",G24=0),"",K24/G24)</f>
        <v/>
      </c>
    </row>
    <row r="25">
      <c r="A25" s="13" t="n"/>
      <c r="B25" s="14" t="n"/>
      <c r="C25" s="19" t="n"/>
      <c r="D25" s="19" t="n"/>
      <c r="E25" s="19" t="n"/>
      <c r="F25" s="20" t="n"/>
      <c r="G25" s="21" t="n"/>
      <c r="H25" s="19" t="n"/>
      <c r="I25" s="18">
        <f>IF(COUNT(C25:D25)=0,"",C25+D25)</f>
        <v/>
      </c>
      <c r="J25" s="18">
        <f>IF(OR(A25="",F25=""),"",F25*IF(A25&lt;DATE(2026,7,1),Settings!$B$4,Settings!$B$5))</f>
        <v/>
      </c>
      <c r="K25" s="18">
        <f>IF(I25="","",I25-SUM(E25,H25))</f>
        <v/>
      </c>
      <c r="L25" s="18">
        <f>IF(OR(K25="",G25="",G25=0),"",K25/G25)</f>
        <v/>
      </c>
    </row>
    <row r="26">
      <c r="A26" s="13" t="n"/>
      <c r="B26" s="14" t="n"/>
      <c r="C26" s="19" t="n"/>
      <c r="D26" s="19" t="n"/>
      <c r="E26" s="19" t="n"/>
      <c r="F26" s="20" t="n"/>
      <c r="G26" s="21" t="n"/>
      <c r="H26" s="19" t="n"/>
      <c r="I26" s="18">
        <f>IF(COUNT(C26:D26)=0,"",C26+D26)</f>
        <v/>
      </c>
      <c r="J26" s="18">
        <f>IF(OR(A26="",F26=""),"",F26*IF(A26&lt;DATE(2026,7,1),Settings!$B$4,Settings!$B$5))</f>
        <v/>
      </c>
      <c r="K26" s="18">
        <f>IF(I26="","",I26-SUM(E26,H26))</f>
        <v/>
      </c>
      <c r="L26" s="18">
        <f>IF(OR(K26="",G26="",G26=0),"",K26/G26)</f>
        <v/>
      </c>
    </row>
    <row r="27">
      <c r="A27" s="13" t="n"/>
      <c r="B27" s="14" t="n"/>
      <c r="C27" s="19" t="n"/>
      <c r="D27" s="19" t="n"/>
      <c r="E27" s="19" t="n"/>
      <c r="F27" s="20" t="n"/>
      <c r="G27" s="21" t="n"/>
      <c r="H27" s="19" t="n"/>
      <c r="I27" s="18">
        <f>IF(COUNT(C27:D27)=0,"",C27+D27)</f>
        <v/>
      </c>
      <c r="J27" s="18">
        <f>IF(OR(A27="",F27=""),"",F27*IF(A27&lt;DATE(2026,7,1),Settings!$B$4,Settings!$B$5))</f>
        <v/>
      </c>
      <c r="K27" s="18">
        <f>IF(I27="","",I27-SUM(E27,H27))</f>
        <v/>
      </c>
      <c r="L27" s="18">
        <f>IF(OR(K27="",G27="",G27=0),"",K27/G27)</f>
        <v/>
      </c>
    </row>
    <row r="28">
      <c r="A28" s="13" t="n"/>
      <c r="B28" s="14" t="n"/>
      <c r="C28" s="19" t="n"/>
      <c r="D28" s="19" t="n"/>
      <c r="E28" s="19" t="n"/>
      <c r="F28" s="20" t="n"/>
      <c r="G28" s="21" t="n"/>
      <c r="H28" s="19" t="n"/>
      <c r="I28" s="18">
        <f>IF(COUNT(C28:D28)=0,"",C28+D28)</f>
        <v/>
      </c>
      <c r="J28" s="18">
        <f>IF(OR(A28="",F28=""),"",F28*IF(A28&lt;DATE(2026,7,1),Settings!$B$4,Settings!$B$5))</f>
        <v/>
      </c>
      <c r="K28" s="18">
        <f>IF(I28="","",I28-SUM(E28,H28))</f>
        <v/>
      </c>
      <c r="L28" s="18">
        <f>IF(OR(K28="",G28="",G28=0),"",K28/G28)</f>
        <v/>
      </c>
    </row>
    <row r="29">
      <c r="A29" s="13" t="n"/>
      <c r="B29" s="14" t="n"/>
      <c r="C29" s="19" t="n"/>
      <c r="D29" s="19" t="n"/>
      <c r="E29" s="19" t="n"/>
      <c r="F29" s="20" t="n"/>
      <c r="G29" s="21" t="n"/>
      <c r="H29" s="19" t="n"/>
      <c r="I29" s="18">
        <f>IF(COUNT(C29:D29)=0,"",C29+D29)</f>
        <v/>
      </c>
      <c r="J29" s="18">
        <f>IF(OR(A29="",F29=""),"",F29*IF(A29&lt;DATE(2026,7,1),Settings!$B$4,Settings!$B$5))</f>
        <v/>
      </c>
      <c r="K29" s="18">
        <f>IF(I29="","",I29-SUM(E29,H29))</f>
        <v/>
      </c>
      <c r="L29" s="18">
        <f>IF(OR(K29="",G29="",G29=0),"",K29/G29)</f>
        <v/>
      </c>
    </row>
    <row r="30">
      <c r="A30" s="13" t="n"/>
      <c r="B30" s="14" t="n"/>
      <c r="C30" s="19" t="n"/>
      <c r="D30" s="19" t="n"/>
      <c r="E30" s="19" t="n"/>
      <c r="F30" s="20" t="n"/>
      <c r="G30" s="21" t="n"/>
      <c r="H30" s="19" t="n"/>
      <c r="I30" s="18">
        <f>IF(COUNT(C30:D30)=0,"",C30+D30)</f>
        <v/>
      </c>
      <c r="J30" s="18">
        <f>IF(OR(A30="",F30=""),"",F30*IF(A30&lt;DATE(2026,7,1),Settings!$B$4,Settings!$B$5))</f>
        <v/>
      </c>
      <c r="K30" s="18">
        <f>IF(I30="","",I30-SUM(E30,H30))</f>
        <v/>
      </c>
      <c r="L30" s="18">
        <f>IF(OR(K30="",G30="",G30=0),"",K30/G30)</f>
        <v/>
      </c>
    </row>
    <row r="31">
      <c r="A31" s="13" t="n"/>
      <c r="B31" s="14" t="n"/>
      <c r="C31" s="19" t="n"/>
      <c r="D31" s="19" t="n"/>
      <c r="E31" s="19" t="n"/>
      <c r="F31" s="20" t="n"/>
      <c r="G31" s="21" t="n"/>
      <c r="H31" s="19" t="n"/>
      <c r="I31" s="18">
        <f>IF(COUNT(C31:D31)=0,"",C31+D31)</f>
        <v/>
      </c>
      <c r="J31" s="18">
        <f>IF(OR(A31="",F31=""),"",F31*IF(A31&lt;DATE(2026,7,1),Settings!$B$4,Settings!$B$5))</f>
        <v/>
      </c>
      <c r="K31" s="18">
        <f>IF(I31="","",I31-SUM(E31,H31))</f>
        <v/>
      </c>
      <c r="L31" s="18">
        <f>IF(OR(K31="",G31="",G31=0),"",K31/G31)</f>
        <v/>
      </c>
    </row>
    <row r="32">
      <c r="A32" s="13" t="n"/>
      <c r="B32" s="14" t="n"/>
      <c r="C32" s="19" t="n"/>
      <c r="D32" s="19" t="n"/>
      <c r="E32" s="19" t="n"/>
      <c r="F32" s="20" t="n"/>
      <c r="G32" s="21" t="n"/>
      <c r="H32" s="19" t="n"/>
      <c r="I32" s="18">
        <f>IF(COUNT(C32:D32)=0,"",C32+D32)</f>
        <v/>
      </c>
      <c r="J32" s="18">
        <f>IF(OR(A32="",F32=""),"",F32*IF(A32&lt;DATE(2026,7,1),Settings!$B$4,Settings!$B$5))</f>
        <v/>
      </c>
      <c r="K32" s="18">
        <f>IF(I32="","",I32-SUM(E32,H32))</f>
        <v/>
      </c>
      <c r="L32" s="18">
        <f>IF(OR(K32="",G32="",G32=0),"",K32/G32)</f>
        <v/>
      </c>
    </row>
    <row r="33">
      <c r="A33" s="13" t="n"/>
      <c r="B33" s="14" t="n"/>
      <c r="C33" s="19" t="n"/>
      <c r="D33" s="19" t="n"/>
      <c r="E33" s="19" t="n"/>
      <c r="F33" s="20" t="n"/>
      <c r="G33" s="21" t="n"/>
      <c r="H33" s="19" t="n"/>
      <c r="I33" s="18">
        <f>IF(COUNT(C33:D33)=0,"",C33+D33)</f>
        <v/>
      </c>
      <c r="J33" s="18">
        <f>IF(OR(A33="",F33=""),"",F33*IF(A33&lt;DATE(2026,7,1),Settings!$B$4,Settings!$B$5))</f>
        <v/>
      </c>
      <c r="K33" s="18">
        <f>IF(I33="","",I33-SUM(E33,H33))</f>
        <v/>
      </c>
      <c r="L33" s="18">
        <f>IF(OR(K33="",G33="",G33=0),"",K33/G33)</f>
        <v/>
      </c>
    </row>
    <row r="34">
      <c r="A34" s="13" t="n"/>
      <c r="B34" s="14" t="n"/>
      <c r="C34" s="19" t="n"/>
      <c r="D34" s="19" t="n"/>
      <c r="E34" s="19" t="n"/>
      <c r="F34" s="20" t="n"/>
      <c r="G34" s="21" t="n"/>
      <c r="H34" s="19" t="n"/>
      <c r="I34" s="18">
        <f>IF(COUNT(C34:D34)=0,"",C34+D34)</f>
        <v/>
      </c>
      <c r="J34" s="18">
        <f>IF(OR(A34="",F34=""),"",F34*IF(A34&lt;DATE(2026,7,1),Settings!$B$4,Settings!$B$5))</f>
        <v/>
      </c>
      <c r="K34" s="18">
        <f>IF(I34="","",I34-SUM(E34,H34))</f>
        <v/>
      </c>
      <c r="L34" s="18">
        <f>IF(OR(K34="",G34="",G34=0),"",K34/G34)</f>
        <v/>
      </c>
    </row>
    <row r="35">
      <c r="A35" s="13" t="n"/>
      <c r="B35" s="14" t="n"/>
      <c r="C35" s="19" t="n"/>
      <c r="D35" s="19" t="n"/>
      <c r="E35" s="19" t="n"/>
      <c r="F35" s="20" t="n"/>
      <c r="G35" s="21" t="n"/>
      <c r="H35" s="19" t="n"/>
      <c r="I35" s="18">
        <f>IF(COUNT(C35:D35)=0,"",C35+D35)</f>
        <v/>
      </c>
      <c r="J35" s="18">
        <f>IF(OR(A35="",F35=""),"",F35*IF(A35&lt;DATE(2026,7,1),Settings!$B$4,Settings!$B$5))</f>
        <v/>
      </c>
      <c r="K35" s="18">
        <f>IF(I35="","",I35-SUM(E35,H35))</f>
        <v/>
      </c>
      <c r="L35" s="18">
        <f>IF(OR(K35="",G35="",G35=0),"",K35/G35)</f>
        <v/>
      </c>
    </row>
    <row r="36">
      <c r="A36" s="13" t="n"/>
      <c r="B36" s="14" t="n"/>
      <c r="C36" s="19" t="n"/>
      <c r="D36" s="19" t="n"/>
      <c r="E36" s="19" t="n"/>
      <c r="F36" s="20" t="n"/>
      <c r="G36" s="21" t="n"/>
      <c r="H36" s="19" t="n"/>
      <c r="I36" s="18">
        <f>IF(COUNT(C36:D36)=0,"",C36+D36)</f>
        <v/>
      </c>
      <c r="J36" s="18">
        <f>IF(OR(A36="",F36=""),"",F36*IF(A36&lt;DATE(2026,7,1),Settings!$B$4,Settings!$B$5))</f>
        <v/>
      </c>
      <c r="K36" s="18">
        <f>IF(I36="","",I36-SUM(E36,H36))</f>
        <v/>
      </c>
      <c r="L36" s="18">
        <f>IF(OR(K36="",G36="",G36=0),"",K36/G36)</f>
        <v/>
      </c>
    </row>
    <row r="37">
      <c r="A37" s="13" t="n"/>
      <c r="B37" s="14" t="n"/>
      <c r="C37" s="19" t="n"/>
      <c r="D37" s="19" t="n"/>
      <c r="E37" s="19" t="n"/>
      <c r="F37" s="20" t="n"/>
      <c r="G37" s="21" t="n"/>
      <c r="H37" s="19" t="n"/>
      <c r="I37" s="18">
        <f>IF(COUNT(C37:D37)=0,"",C37+D37)</f>
        <v/>
      </c>
      <c r="J37" s="18">
        <f>IF(OR(A37="",F37=""),"",F37*IF(A37&lt;DATE(2026,7,1),Settings!$B$4,Settings!$B$5))</f>
        <v/>
      </c>
      <c r="K37" s="18">
        <f>IF(I37="","",I37-SUM(E37,H37))</f>
        <v/>
      </c>
      <c r="L37" s="18">
        <f>IF(OR(K37="",G37="",G37=0),"",K37/G37)</f>
        <v/>
      </c>
    </row>
    <row r="38">
      <c r="A38" s="13" t="n"/>
      <c r="B38" s="14" t="n"/>
      <c r="C38" s="19" t="n"/>
      <c r="D38" s="19" t="n"/>
      <c r="E38" s="19" t="n"/>
      <c r="F38" s="20" t="n"/>
      <c r="G38" s="21" t="n"/>
      <c r="H38" s="19" t="n"/>
      <c r="I38" s="18">
        <f>IF(COUNT(C38:D38)=0,"",C38+D38)</f>
        <v/>
      </c>
      <c r="J38" s="18">
        <f>IF(OR(A38="",F38=""),"",F38*IF(A38&lt;DATE(2026,7,1),Settings!$B$4,Settings!$B$5))</f>
        <v/>
      </c>
      <c r="K38" s="18">
        <f>IF(I38="","",I38-SUM(E38,H38))</f>
        <v/>
      </c>
      <c r="L38" s="18">
        <f>IF(OR(K38="",G38="",G38=0),"",K38/G38)</f>
        <v/>
      </c>
    </row>
    <row r="39">
      <c r="A39" s="13" t="n"/>
      <c r="B39" s="14" t="n"/>
      <c r="C39" s="19" t="n"/>
      <c r="D39" s="19" t="n"/>
      <c r="E39" s="19" t="n"/>
      <c r="F39" s="20" t="n"/>
      <c r="G39" s="21" t="n"/>
      <c r="H39" s="19" t="n"/>
      <c r="I39" s="18">
        <f>IF(COUNT(C39:D39)=0,"",C39+D39)</f>
        <v/>
      </c>
      <c r="J39" s="18">
        <f>IF(OR(A39="",F39=""),"",F39*IF(A39&lt;DATE(2026,7,1),Settings!$B$4,Settings!$B$5))</f>
        <v/>
      </c>
      <c r="K39" s="18">
        <f>IF(I39="","",I39-SUM(E39,H39))</f>
        <v/>
      </c>
      <c r="L39" s="18">
        <f>IF(OR(K39="",G39="",G39=0),"",K39/G39)</f>
        <v/>
      </c>
    </row>
    <row r="40">
      <c r="A40" s="13" t="n"/>
      <c r="B40" s="14" t="n"/>
      <c r="C40" s="19" t="n"/>
      <c r="D40" s="19" t="n"/>
      <c r="E40" s="19" t="n"/>
      <c r="F40" s="20" t="n"/>
      <c r="G40" s="21" t="n"/>
      <c r="H40" s="19" t="n"/>
      <c r="I40" s="18">
        <f>IF(COUNT(C40:D40)=0,"",C40+D40)</f>
        <v/>
      </c>
      <c r="J40" s="18">
        <f>IF(OR(A40="",F40=""),"",F40*IF(A40&lt;DATE(2026,7,1),Settings!$B$4,Settings!$B$5))</f>
        <v/>
      </c>
      <c r="K40" s="18">
        <f>IF(I40="","",I40-SUM(E40,H40))</f>
        <v/>
      </c>
      <c r="L40" s="18">
        <f>IF(OR(K40="",G40="",G40=0),"",K40/G40)</f>
        <v/>
      </c>
    </row>
    <row r="41">
      <c r="A41" s="13" t="n"/>
      <c r="B41" s="14" t="n"/>
      <c r="C41" s="19" t="n"/>
      <c r="D41" s="19" t="n"/>
      <c r="E41" s="19" t="n"/>
      <c r="F41" s="20" t="n"/>
      <c r="G41" s="21" t="n"/>
      <c r="H41" s="19" t="n"/>
      <c r="I41" s="18">
        <f>IF(COUNT(C41:D41)=0,"",C41+D41)</f>
        <v/>
      </c>
      <c r="J41" s="18">
        <f>IF(OR(A41="",F41=""),"",F41*IF(A41&lt;DATE(2026,7,1),Settings!$B$4,Settings!$B$5))</f>
        <v/>
      </c>
      <c r="K41" s="18">
        <f>IF(I41="","",I41-SUM(E41,H41))</f>
        <v/>
      </c>
      <c r="L41" s="18">
        <f>IF(OR(K41="",G41="",G41=0),"",K41/G41)</f>
        <v/>
      </c>
    </row>
    <row r="42">
      <c r="A42" s="13" t="n"/>
      <c r="B42" s="14" t="n"/>
      <c r="C42" s="19" t="n"/>
      <c r="D42" s="19" t="n"/>
      <c r="E42" s="19" t="n"/>
      <c r="F42" s="20" t="n"/>
      <c r="G42" s="21" t="n"/>
      <c r="H42" s="19" t="n"/>
      <c r="I42" s="18">
        <f>IF(COUNT(C42:D42)=0,"",C42+D42)</f>
        <v/>
      </c>
      <c r="J42" s="18">
        <f>IF(OR(A42="",F42=""),"",F42*IF(A42&lt;DATE(2026,7,1),Settings!$B$4,Settings!$B$5))</f>
        <v/>
      </c>
      <c r="K42" s="18">
        <f>IF(I42="","",I42-SUM(E42,H42))</f>
        <v/>
      </c>
      <c r="L42" s="18">
        <f>IF(OR(K42="",G42="",G42=0),"",K42/G42)</f>
        <v/>
      </c>
    </row>
    <row r="43">
      <c r="A43" s="13" t="n"/>
      <c r="B43" s="14" t="n"/>
      <c r="C43" s="19" t="n"/>
      <c r="D43" s="19" t="n"/>
      <c r="E43" s="19" t="n"/>
      <c r="F43" s="20" t="n"/>
      <c r="G43" s="21" t="n"/>
      <c r="H43" s="19" t="n"/>
      <c r="I43" s="18">
        <f>IF(COUNT(C43:D43)=0,"",C43+D43)</f>
        <v/>
      </c>
      <c r="J43" s="18">
        <f>IF(OR(A43="",F43=""),"",F43*IF(A43&lt;DATE(2026,7,1),Settings!$B$4,Settings!$B$5))</f>
        <v/>
      </c>
      <c r="K43" s="18">
        <f>IF(I43="","",I43-SUM(E43,H43))</f>
        <v/>
      </c>
      <c r="L43" s="18">
        <f>IF(OR(K43="",G43="",G43=0),"",K43/G43)</f>
        <v/>
      </c>
    </row>
    <row r="44">
      <c r="A44" s="13" t="n"/>
      <c r="B44" s="14" t="n"/>
      <c r="C44" s="19" t="n"/>
      <c r="D44" s="19" t="n"/>
      <c r="E44" s="19" t="n"/>
      <c r="F44" s="20" t="n"/>
      <c r="G44" s="21" t="n"/>
      <c r="H44" s="19" t="n"/>
      <c r="I44" s="18">
        <f>IF(COUNT(C44:D44)=0,"",C44+D44)</f>
        <v/>
      </c>
      <c r="J44" s="18">
        <f>IF(OR(A44="",F44=""),"",F44*IF(A44&lt;DATE(2026,7,1),Settings!$B$4,Settings!$B$5))</f>
        <v/>
      </c>
      <c r="K44" s="18">
        <f>IF(I44="","",I44-SUM(E44,H44))</f>
        <v/>
      </c>
      <c r="L44" s="18">
        <f>IF(OR(K44="",G44="",G44=0),"",K44/G44)</f>
        <v/>
      </c>
    </row>
    <row r="45">
      <c r="A45" s="13" t="n"/>
      <c r="B45" s="14" t="n"/>
      <c r="C45" s="19" t="n"/>
      <c r="D45" s="19" t="n"/>
      <c r="E45" s="19" t="n"/>
      <c r="F45" s="20" t="n"/>
      <c r="G45" s="21" t="n"/>
      <c r="H45" s="19" t="n"/>
      <c r="I45" s="18">
        <f>IF(COUNT(C45:D45)=0,"",C45+D45)</f>
        <v/>
      </c>
      <c r="J45" s="18">
        <f>IF(OR(A45="",F45=""),"",F45*IF(A45&lt;DATE(2026,7,1),Settings!$B$4,Settings!$B$5))</f>
        <v/>
      </c>
      <c r="K45" s="18">
        <f>IF(I45="","",I45-SUM(E45,H45))</f>
        <v/>
      </c>
      <c r="L45" s="18">
        <f>IF(OR(K45="",G45="",G45=0),"",K45/G45)</f>
        <v/>
      </c>
    </row>
    <row r="46">
      <c r="A46" s="13" t="n"/>
      <c r="B46" s="14" t="n"/>
      <c r="C46" s="19" t="n"/>
      <c r="D46" s="19" t="n"/>
      <c r="E46" s="19" t="n"/>
      <c r="F46" s="20" t="n"/>
      <c r="G46" s="21" t="n"/>
      <c r="H46" s="19" t="n"/>
      <c r="I46" s="18">
        <f>IF(COUNT(C46:D46)=0,"",C46+D46)</f>
        <v/>
      </c>
      <c r="J46" s="18">
        <f>IF(OR(A46="",F46=""),"",F46*IF(A46&lt;DATE(2026,7,1),Settings!$B$4,Settings!$B$5))</f>
        <v/>
      </c>
      <c r="K46" s="18">
        <f>IF(I46="","",I46-SUM(E46,H46))</f>
        <v/>
      </c>
      <c r="L46" s="18">
        <f>IF(OR(K46="",G46="",G46=0),"",K46/G46)</f>
        <v/>
      </c>
    </row>
    <row r="47">
      <c r="A47" s="13" t="n"/>
      <c r="B47" s="14" t="n"/>
      <c r="C47" s="19" t="n"/>
      <c r="D47" s="19" t="n"/>
      <c r="E47" s="19" t="n"/>
      <c r="F47" s="20" t="n"/>
      <c r="G47" s="21" t="n"/>
      <c r="H47" s="19" t="n"/>
      <c r="I47" s="18">
        <f>IF(COUNT(C47:D47)=0,"",C47+D47)</f>
        <v/>
      </c>
      <c r="J47" s="18">
        <f>IF(OR(A47="",F47=""),"",F47*IF(A47&lt;DATE(2026,7,1),Settings!$B$4,Settings!$B$5))</f>
        <v/>
      </c>
      <c r="K47" s="18">
        <f>IF(I47="","",I47-SUM(E47,H47))</f>
        <v/>
      </c>
      <c r="L47" s="18">
        <f>IF(OR(K47="",G47="",G47=0),"",K47/G47)</f>
        <v/>
      </c>
    </row>
    <row r="48">
      <c r="A48" s="13" t="n"/>
      <c r="B48" s="14" t="n"/>
      <c r="C48" s="19" t="n"/>
      <c r="D48" s="19" t="n"/>
      <c r="E48" s="19" t="n"/>
      <c r="F48" s="20" t="n"/>
      <c r="G48" s="21" t="n"/>
      <c r="H48" s="19" t="n"/>
      <c r="I48" s="18">
        <f>IF(COUNT(C48:D48)=0,"",C48+D48)</f>
        <v/>
      </c>
      <c r="J48" s="18">
        <f>IF(OR(A48="",F48=""),"",F48*IF(A48&lt;DATE(2026,7,1),Settings!$B$4,Settings!$B$5))</f>
        <v/>
      </c>
      <c r="K48" s="18">
        <f>IF(I48="","",I48-SUM(E48,H48))</f>
        <v/>
      </c>
      <c r="L48" s="18">
        <f>IF(OR(K48="",G48="",G48=0),"",K48/G48)</f>
        <v/>
      </c>
    </row>
    <row r="49">
      <c r="A49" s="13" t="n"/>
      <c r="B49" s="14" t="n"/>
      <c r="C49" s="19" t="n"/>
      <c r="D49" s="19" t="n"/>
      <c r="E49" s="19" t="n"/>
      <c r="F49" s="20" t="n"/>
      <c r="G49" s="21" t="n"/>
      <c r="H49" s="19" t="n"/>
      <c r="I49" s="18">
        <f>IF(COUNT(C49:D49)=0,"",C49+D49)</f>
        <v/>
      </c>
      <c r="J49" s="18">
        <f>IF(OR(A49="",F49=""),"",F49*IF(A49&lt;DATE(2026,7,1),Settings!$B$4,Settings!$B$5))</f>
        <v/>
      </c>
      <c r="K49" s="18">
        <f>IF(I49="","",I49-SUM(E49,H49))</f>
        <v/>
      </c>
      <c r="L49" s="18">
        <f>IF(OR(K49="",G49="",G49=0),"",K49/G49)</f>
        <v/>
      </c>
    </row>
    <row r="50">
      <c r="A50" s="13" t="n"/>
      <c r="B50" s="14" t="n"/>
      <c r="C50" s="19" t="n"/>
      <c r="D50" s="19" t="n"/>
      <c r="E50" s="19" t="n"/>
      <c r="F50" s="20" t="n"/>
      <c r="G50" s="21" t="n"/>
      <c r="H50" s="19" t="n"/>
      <c r="I50" s="18">
        <f>IF(COUNT(C50:D50)=0,"",C50+D50)</f>
        <v/>
      </c>
      <c r="J50" s="18">
        <f>IF(OR(A50="",F50=""),"",F50*IF(A50&lt;DATE(2026,7,1),Settings!$B$4,Settings!$B$5))</f>
        <v/>
      </c>
      <c r="K50" s="18">
        <f>IF(I50="","",I50-SUM(E50,H50))</f>
        <v/>
      </c>
      <c r="L50" s="18">
        <f>IF(OR(K50="",G50="",G50=0),"",K50/G50)</f>
        <v/>
      </c>
    </row>
    <row r="51">
      <c r="A51" s="13" t="n"/>
      <c r="B51" s="14" t="n"/>
      <c r="C51" s="19" t="n"/>
      <c r="D51" s="19" t="n"/>
      <c r="E51" s="19" t="n"/>
      <c r="F51" s="20" t="n"/>
      <c r="G51" s="21" t="n"/>
      <c r="H51" s="19" t="n"/>
      <c r="I51" s="18">
        <f>IF(COUNT(C51:D51)=0,"",C51+D51)</f>
        <v/>
      </c>
      <c r="J51" s="18">
        <f>IF(OR(A51="",F51=""),"",F51*IF(A51&lt;DATE(2026,7,1),Settings!$B$4,Settings!$B$5))</f>
        <v/>
      </c>
      <c r="K51" s="18">
        <f>IF(I51="","",I51-SUM(E51,H51))</f>
        <v/>
      </c>
      <c r="L51" s="18">
        <f>IF(OR(K51="",G51="",G51=0),"",K51/G51)</f>
        <v/>
      </c>
    </row>
    <row r="52">
      <c r="A52" s="13" t="n"/>
      <c r="B52" s="14" t="n"/>
      <c r="C52" s="19" t="n"/>
      <c r="D52" s="19" t="n"/>
      <c r="E52" s="19" t="n"/>
      <c r="F52" s="20" t="n"/>
      <c r="G52" s="21" t="n"/>
      <c r="H52" s="19" t="n"/>
      <c r="I52" s="18">
        <f>IF(COUNT(C52:D52)=0,"",C52+D52)</f>
        <v/>
      </c>
      <c r="J52" s="18">
        <f>IF(OR(A52="",F52=""),"",F52*IF(A52&lt;DATE(2026,7,1),Settings!$B$4,Settings!$B$5))</f>
        <v/>
      </c>
      <c r="K52" s="18">
        <f>IF(I52="","",I52-SUM(E52,H52))</f>
        <v/>
      </c>
      <c r="L52" s="18">
        <f>IF(OR(K52="",G52="",G52=0),"",K52/G52)</f>
        <v/>
      </c>
    </row>
    <row r="53">
      <c r="A53" s="13" t="n"/>
      <c r="B53" s="14" t="n"/>
      <c r="C53" s="19" t="n"/>
      <c r="D53" s="19" t="n"/>
      <c r="E53" s="19" t="n"/>
      <c r="F53" s="20" t="n"/>
      <c r="G53" s="21" t="n"/>
      <c r="H53" s="19" t="n"/>
      <c r="I53" s="18">
        <f>IF(COUNT(C53:D53)=0,"",C53+D53)</f>
        <v/>
      </c>
      <c r="J53" s="18">
        <f>IF(OR(A53="",F53=""),"",F53*IF(A53&lt;DATE(2026,7,1),Settings!$B$4,Settings!$B$5))</f>
        <v/>
      </c>
      <c r="K53" s="18">
        <f>IF(I53="","",I53-SUM(E53,H53))</f>
        <v/>
      </c>
      <c r="L53" s="18">
        <f>IF(OR(K53="",G53="",G53=0),"",K53/G53)</f>
        <v/>
      </c>
    </row>
    <row r="54">
      <c r="A54" s="13" t="n"/>
      <c r="B54" s="14" t="n"/>
      <c r="C54" s="19" t="n"/>
      <c r="D54" s="19" t="n"/>
      <c r="E54" s="19" t="n"/>
      <c r="F54" s="20" t="n"/>
      <c r="G54" s="21" t="n"/>
      <c r="H54" s="19" t="n"/>
      <c r="I54" s="18">
        <f>IF(COUNT(C54:D54)=0,"",C54+D54)</f>
        <v/>
      </c>
      <c r="J54" s="18">
        <f>IF(OR(A54="",F54=""),"",F54*IF(A54&lt;DATE(2026,7,1),Settings!$B$4,Settings!$B$5))</f>
        <v/>
      </c>
      <c r="K54" s="18">
        <f>IF(I54="","",I54-SUM(E54,H54))</f>
        <v/>
      </c>
      <c r="L54" s="18">
        <f>IF(OR(K54="",G54="",G54=0),"",K54/G54)</f>
        <v/>
      </c>
    </row>
    <row r="55">
      <c r="A55" s="13" t="n"/>
      <c r="B55" s="14" t="n"/>
      <c r="C55" s="19" t="n"/>
      <c r="D55" s="19" t="n"/>
      <c r="E55" s="19" t="n"/>
      <c r="F55" s="20" t="n"/>
      <c r="G55" s="21" t="n"/>
      <c r="H55" s="19" t="n"/>
      <c r="I55" s="18">
        <f>IF(COUNT(C55:D55)=0,"",C55+D55)</f>
        <v/>
      </c>
      <c r="J55" s="18">
        <f>IF(OR(A55="",F55=""),"",F55*IF(A55&lt;DATE(2026,7,1),Settings!$B$4,Settings!$B$5))</f>
        <v/>
      </c>
      <c r="K55" s="18">
        <f>IF(I55="","",I55-SUM(E55,H55))</f>
        <v/>
      </c>
      <c r="L55" s="18">
        <f>IF(OR(K55="",G55="",G55=0),"",K55/G55)</f>
        <v/>
      </c>
    </row>
    <row r="56">
      <c r="A56" s="13" t="n"/>
      <c r="B56" s="14" t="n"/>
      <c r="C56" s="19" t="n"/>
      <c r="D56" s="19" t="n"/>
      <c r="E56" s="19" t="n"/>
      <c r="F56" s="20" t="n"/>
      <c r="G56" s="21" t="n"/>
      <c r="H56" s="19" t="n"/>
      <c r="I56" s="18">
        <f>IF(COUNT(C56:D56)=0,"",C56+D56)</f>
        <v/>
      </c>
      <c r="J56" s="18">
        <f>IF(OR(A56="",F56=""),"",F56*IF(A56&lt;DATE(2026,7,1),Settings!$B$4,Settings!$B$5))</f>
        <v/>
      </c>
      <c r="K56" s="18">
        <f>IF(I56="","",I56-SUM(E56,H56))</f>
        <v/>
      </c>
      <c r="L56" s="18">
        <f>IF(OR(K56="",G56="",G56=0),"",K56/G56)</f>
        <v/>
      </c>
    </row>
    <row r="57">
      <c r="A57" s="13" t="n"/>
      <c r="B57" s="14" t="n"/>
      <c r="C57" s="19" t="n"/>
      <c r="D57" s="19" t="n"/>
      <c r="E57" s="19" t="n"/>
      <c r="F57" s="20" t="n"/>
      <c r="G57" s="21" t="n"/>
      <c r="H57" s="19" t="n"/>
      <c r="I57" s="18">
        <f>IF(COUNT(C57:D57)=0,"",C57+D57)</f>
        <v/>
      </c>
      <c r="J57" s="18">
        <f>IF(OR(A57="",F57=""),"",F57*IF(A57&lt;DATE(2026,7,1),Settings!$B$4,Settings!$B$5))</f>
        <v/>
      </c>
      <c r="K57" s="18">
        <f>IF(I57="","",I57-SUM(E57,H57))</f>
        <v/>
      </c>
      <c r="L57" s="18">
        <f>IF(OR(K57="",G57="",G57=0),"",K57/G57)</f>
        <v/>
      </c>
    </row>
    <row r="58">
      <c r="A58" s="13" t="n"/>
      <c r="B58" s="14" t="n"/>
      <c r="C58" s="19" t="n"/>
      <c r="D58" s="19" t="n"/>
      <c r="E58" s="19" t="n"/>
      <c r="F58" s="20" t="n"/>
      <c r="G58" s="21" t="n"/>
      <c r="H58" s="19" t="n"/>
      <c r="I58" s="18">
        <f>IF(COUNT(C58:D58)=0,"",C58+D58)</f>
        <v/>
      </c>
      <c r="J58" s="18">
        <f>IF(OR(A58="",F58=""),"",F58*IF(A58&lt;DATE(2026,7,1),Settings!$B$4,Settings!$B$5))</f>
        <v/>
      </c>
      <c r="K58" s="18">
        <f>IF(I58="","",I58-SUM(E58,H58))</f>
        <v/>
      </c>
      <c r="L58" s="18">
        <f>IF(OR(K58="",G58="",G58=0),"",K58/G58)</f>
        <v/>
      </c>
    </row>
    <row r="59">
      <c r="A59" s="13" t="n"/>
      <c r="B59" s="14" t="n"/>
      <c r="C59" s="19" t="n"/>
      <c r="D59" s="19" t="n"/>
      <c r="E59" s="19" t="n"/>
      <c r="F59" s="20" t="n"/>
      <c r="G59" s="21" t="n"/>
      <c r="H59" s="19" t="n"/>
      <c r="I59" s="18">
        <f>IF(COUNT(C59:D59)=0,"",C59+D59)</f>
        <v/>
      </c>
      <c r="J59" s="18">
        <f>IF(OR(A59="",F59=""),"",F59*IF(A59&lt;DATE(2026,7,1),Settings!$B$4,Settings!$B$5))</f>
        <v/>
      </c>
      <c r="K59" s="18">
        <f>IF(I59="","",I59-SUM(E59,H59))</f>
        <v/>
      </c>
      <c r="L59" s="18">
        <f>IF(OR(K59="",G59="",G59=0),"",K59/G59)</f>
        <v/>
      </c>
    </row>
    <row r="60">
      <c r="A60" s="13" t="n"/>
      <c r="B60" s="14" t="n"/>
      <c r="C60" s="19" t="n"/>
      <c r="D60" s="19" t="n"/>
      <c r="E60" s="19" t="n"/>
      <c r="F60" s="20" t="n"/>
      <c r="G60" s="21" t="n"/>
      <c r="H60" s="19" t="n"/>
      <c r="I60" s="18">
        <f>IF(COUNT(C60:D60)=0,"",C60+D60)</f>
        <v/>
      </c>
      <c r="J60" s="18">
        <f>IF(OR(A60="",F60=""),"",F60*IF(A60&lt;DATE(2026,7,1),Settings!$B$4,Settings!$B$5))</f>
        <v/>
      </c>
      <c r="K60" s="18">
        <f>IF(I60="","",I60-SUM(E60,H60))</f>
        <v/>
      </c>
      <c r="L60" s="18">
        <f>IF(OR(K60="",G60="",G60=0),"",K60/G60)</f>
        <v/>
      </c>
    </row>
    <row r="61">
      <c r="A61" s="13" t="n"/>
      <c r="B61" s="14" t="n"/>
      <c r="C61" s="19" t="n"/>
      <c r="D61" s="19" t="n"/>
      <c r="E61" s="19" t="n"/>
      <c r="F61" s="20" t="n"/>
      <c r="G61" s="21" t="n"/>
      <c r="H61" s="19" t="n"/>
      <c r="I61" s="18">
        <f>IF(COUNT(C61:D61)=0,"",C61+D61)</f>
        <v/>
      </c>
      <c r="J61" s="18">
        <f>IF(OR(A61="",F61=""),"",F61*IF(A61&lt;DATE(2026,7,1),Settings!$B$4,Settings!$B$5))</f>
        <v/>
      </c>
      <c r="K61" s="18">
        <f>IF(I61="","",I61-SUM(E61,H61))</f>
        <v/>
      </c>
      <c r="L61" s="18">
        <f>IF(OR(K61="",G61="",G61=0),"",K61/G61)</f>
        <v/>
      </c>
    </row>
    <row r="62">
      <c r="A62" s="13" t="n"/>
      <c r="B62" s="14" t="n"/>
      <c r="C62" s="19" t="n"/>
      <c r="D62" s="19" t="n"/>
      <c r="E62" s="19" t="n"/>
      <c r="F62" s="20" t="n"/>
      <c r="G62" s="21" t="n"/>
      <c r="H62" s="19" t="n"/>
      <c r="I62" s="18">
        <f>IF(COUNT(C62:D62)=0,"",C62+D62)</f>
        <v/>
      </c>
      <c r="J62" s="18">
        <f>IF(OR(A62="",F62=""),"",F62*IF(A62&lt;DATE(2026,7,1),Settings!$B$4,Settings!$B$5))</f>
        <v/>
      </c>
      <c r="K62" s="18">
        <f>IF(I62="","",I62-SUM(E62,H62))</f>
        <v/>
      </c>
      <c r="L62" s="18">
        <f>IF(OR(K62="",G62="",G62=0),"",K62/G62)</f>
        <v/>
      </c>
    </row>
    <row r="63">
      <c r="A63" s="13" t="n"/>
      <c r="B63" s="14" t="n"/>
      <c r="C63" s="19" t="n"/>
      <c r="D63" s="19" t="n"/>
      <c r="E63" s="19" t="n"/>
      <c r="F63" s="20" t="n"/>
      <c r="G63" s="21" t="n"/>
      <c r="H63" s="19" t="n"/>
      <c r="I63" s="18">
        <f>IF(COUNT(C63:D63)=0,"",C63+D63)</f>
        <v/>
      </c>
      <c r="J63" s="18">
        <f>IF(OR(A63="",F63=""),"",F63*IF(A63&lt;DATE(2026,7,1),Settings!$B$4,Settings!$B$5))</f>
        <v/>
      </c>
      <c r="K63" s="18">
        <f>IF(I63="","",I63-SUM(E63,H63))</f>
        <v/>
      </c>
      <c r="L63" s="18">
        <f>IF(OR(K63="",G63="",G63=0),"",K63/G63)</f>
        <v/>
      </c>
    </row>
    <row r="64">
      <c r="A64" s="13" t="n"/>
      <c r="B64" s="14" t="n"/>
      <c r="C64" s="19" t="n"/>
      <c r="D64" s="19" t="n"/>
      <c r="E64" s="19" t="n"/>
      <c r="F64" s="20" t="n"/>
      <c r="G64" s="21" t="n"/>
      <c r="H64" s="19" t="n"/>
      <c r="I64" s="18">
        <f>IF(COUNT(C64:D64)=0,"",C64+D64)</f>
        <v/>
      </c>
      <c r="J64" s="18">
        <f>IF(OR(A64="",F64=""),"",F64*IF(A64&lt;DATE(2026,7,1),Settings!$B$4,Settings!$B$5))</f>
        <v/>
      </c>
      <c r="K64" s="18">
        <f>IF(I64="","",I64-SUM(E64,H64))</f>
        <v/>
      </c>
      <c r="L64" s="18">
        <f>IF(OR(K64="",G64="",G64=0),"",K64/G64)</f>
        <v/>
      </c>
    </row>
    <row r="65">
      <c r="A65" s="13" t="n"/>
      <c r="B65" s="14" t="n"/>
      <c r="C65" s="19" t="n"/>
      <c r="D65" s="19" t="n"/>
      <c r="E65" s="19" t="n"/>
      <c r="F65" s="20" t="n"/>
      <c r="G65" s="21" t="n"/>
      <c r="H65" s="19" t="n"/>
      <c r="I65" s="18">
        <f>IF(COUNT(C65:D65)=0,"",C65+D65)</f>
        <v/>
      </c>
      <c r="J65" s="18">
        <f>IF(OR(A65="",F65=""),"",F65*IF(A65&lt;DATE(2026,7,1),Settings!$B$4,Settings!$B$5))</f>
        <v/>
      </c>
      <c r="K65" s="18">
        <f>IF(I65="","",I65-SUM(E65,H65))</f>
        <v/>
      </c>
      <c r="L65" s="18">
        <f>IF(OR(K65="",G65="",G65=0),"",K65/G65)</f>
        <v/>
      </c>
    </row>
    <row r="66">
      <c r="A66" s="13" t="n"/>
      <c r="B66" s="14" t="n"/>
      <c r="C66" s="19" t="n"/>
      <c r="D66" s="19" t="n"/>
      <c r="E66" s="19" t="n"/>
      <c r="F66" s="20" t="n"/>
      <c r="G66" s="21" t="n"/>
      <c r="H66" s="19" t="n"/>
      <c r="I66" s="18">
        <f>IF(COUNT(C66:D66)=0,"",C66+D66)</f>
        <v/>
      </c>
      <c r="J66" s="18">
        <f>IF(OR(A66="",F66=""),"",F66*IF(A66&lt;DATE(2026,7,1),Settings!$B$4,Settings!$B$5))</f>
        <v/>
      </c>
      <c r="K66" s="18">
        <f>IF(I66="","",I66-SUM(E66,H66))</f>
        <v/>
      </c>
      <c r="L66" s="18">
        <f>IF(OR(K66="",G66="",G66=0),"",K66/G66)</f>
        <v/>
      </c>
    </row>
    <row r="67">
      <c r="A67" s="13" t="n"/>
      <c r="B67" s="14" t="n"/>
      <c r="C67" s="19" t="n"/>
      <c r="D67" s="19" t="n"/>
      <c r="E67" s="19" t="n"/>
      <c r="F67" s="20" t="n"/>
      <c r="G67" s="21" t="n"/>
      <c r="H67" s="19" t="n"/>
      <c r="I67" s="18">
        <f>IF(COUNT(C67:D67)=0,"",C67+D67)</f>
        <v/>
      </c>
      <c r="J67" s="18">
        <f>IF(OR(A67="",F67=""),"",F67*IF(A67&lt;DATE(2026,7,1),Settings!$B$4,Settings!$B$5))</f>
        <v/>
      </c>
      <c r="K67" s="18">
        <f>IF(I67="","",I67-SUM(E67,H67))</f>
        <v/>
      </c>
      <c r="L67" s="18">
        <f>IF(OR(K67="",G67="",G67=0),"",K67/G67)</f>
        <v/>
      </c>
    </row>
    <row r="68">
      <c r="A68" s="13" t="n"/>
      <c r="B68" s="14" t="n"/>
      <c r="C68" s="19" t="n"/>
      <c r="D68" s="19" t="n"/>
      <c r="E68" s="19" t="n"/>
      <c r="F68" s="20" t="n"/>
      <c r="G68" s="21" t="n"/>
      <c r="H68" s="19" t="n"/>
      <c r="I68" s="18">
        <f>IF(COUNT(C68:D68)=0,"",C68+D68)</f>
        <v/>
      </c>
      <c r="J68" s="18">
        <f>IF(OR(A68="",F68=""),"",F68*IF(A68&lt;DATE(2026,7,1),Settings!$B$4,Settings!$B$5))</f>
        <v/>
      </c>
      <c r="K68" s="18">
        <f>IF(I68="","",I68-SUM(E68,H68))</f>
        <v/>
      </c>
      <c r="L68" s="18">
        <f>IF(OR(K68="",G68="",G68=0),"",K68/G68)</f>
        <v/>
      </c>
    </row>
    <row r="69">
      <c r="A69" s="13" t="n"/>
      <c r="B69" s="14" t="n"/>
      <c r="C69" s="19" t="n"/>
      <c r="D69" s="19" t="n"/>
      <c r="E69" s="19" t="n"/>
      <c r="F69" s="20" t="n"/>
      <c r="G69" s="21" t="n"/>
      <c r="H69" s="19" t="n"/>
      <c r="I69" s="18">
        <f>IF(COUNT(C69:D69)=0,"",C69+D69)</f>
        <v/>
      </c>
      <c r="J69" s="18">
        <f>IF(OR(A69="",F69=""),"",F69*IF(A69&lt;DATE(2026,7,1),Settings!$B$4,Settings!$B$5))</f>
        <v/>
      </c>
      <c r="K69" s="18">
        <f>IF(I69="","",I69-SUM(E69,H69))</f>
        <v/>
      </c>
      <c r="L69" s="18">
        <f>IF(OR(K69="",G69="",G69=0),"",K69/G69)</f>
        <v/>
      </c>
    </row>
    <row r="70">
      <c r="A70" s="13" t="n"/>
      <c r="B70" s="14" t="n"/>
      <c r="C70" s="19" t="n"/>
      <c r="D70" s="19" t="n"/>
      <c r="E70" s="19" t="n"/>
      <c r="F70" s="20" t="n"/>
      <c r="G70" s="21" t="n"/>
      <c r="H70" s="19" t="n"/>
      <c r="I70" s="18">
        <f>IF(COUNT(C70:D70)=0,"",C70+D70)</f>
        <v/>
      </c>
      <c r="J70" s="18">
        <f>IF(OR(A70="",F70=""),"",F70*IF(A70&lt;DATE(2026,7,1),Settings!$B$4,Settings!$B$5))</f>
        <v/>
      </c>
      <c r="K70" s="18">
        <f>IF(I70="","",I70-SUM(E70,H70))</f>
        <v/>
      </c>
      <c r="L70" s="18">
        <f>IF(OR(K70="",G70="",G70=0),"",K70/G70)</f>
        <v/>
      </c>
    </row>
    <row r="71">
      <c r="A71" s="13" t="n"/>
      <c r="B71" s="14" t="n"/>
      <c r="C71" s="19" t="n"/>
      <c r="D71" s="19" t="n"/>
      <c r="E71" s="19" t="n"/>
      <c r="F71" s="20" t="n"/>
      <c r="G71" s="21" t="n"/>
      <c r="H71" s="19" t="n"/>
      <c r="I71" s="18">
        <f>IF(COUNT(C71:D71)=0,"",C71+D71)</f>
        <v/>
      </c>
      <c r="J71" s="18">
        <f>IF(OR(A71="",F71=""),"",F71*IF(A71&lt;DATE(2026,7,1),Settings!$B$4,Settings!$B$5))</f>
        <v/>
      </c>
      <c r="K71" s="18">
        <f>IF(I71="","",I71-SUM(E71,H71))</f>
        <v/>
      </c>
      <c r="L71" s="18">
        <f>IF(OR(K71="",G71="",G71=0),"",K71/G71)</f>
        <v/>
      </c>
    </row>
    <row r="72">
      <c r="A72" s="13" t="n"/>
      <c r="B72" s="14" t="n"/>
      <c r="C72" s="19" t="n"/>
      <c r="D72" s="19" t="n"/>
      <c r="E72" s="19" t="n"/>
      <c r="F72" s="20" t="n"/>
      <c r="G72" s="21" t="n"/>
      <c r="H72" s="19" t="n"/>
      <c r="I72" s="18">
        <f>IF(COUNT(C72:D72)=0,"",C72+D72)</f>
        <v/>
      </c>
      <c r="J72" s="18">
        <f>IF(OR(A72="",F72=""),"",F72*IF(A72&lt;DATE(2026,7,1),Settings!$B$4,Settings!$B$5))</f>
        <v/>
      </c>
      <c r="K72" s="18">
        <f>IF(I72="","",I72-SUM(E72,H72))</f>
        <v/>
      </c>
      <c r="L72" s="18">
        <f>IF(OR(K72="",G72="",G72=0),"",K72/G72)</f>
        <v/>
      </c>
    </row>
    <row r="73">
      <c r="A73" s="13" t="n"/>
      <c r="B73" s="14" t="n"/>
      <c r="C73" s="19" t="n"/>
      <c r="D73" s="19" t="n"/>
      <c r="E73" s="19" t="n"/>
      <c r="F73" s="20" t="n"/>
      <c r="G73" s="21" t="n"/>
      <c r="H73" s="19" t="n"/>
      <c r="I73" s="18">
        <f>IF(COUNT(C73:D73)=0,"",C73+D73)</f>
        <v/>
      </c>
      <c r="J73" s="18">
        <f>IF(OR(A73="",F73=""),"",F73*IF(A73&lt;DATE(2026,7,1),Settings!$B$4,Settings!$B$5))</f>
        <v/>
      </c>
      <c r="K73" s="18">
        <f>IF(I73="","",I73-SUM(E73,H73))</f>
        <v/>
      </c>
      <c r="L73" s="18">
        <f>IF(OR(K73="",G73="",G73=0),"",K73/G73)</f>
        <v/>
      </c>
    </row>
    <row r="74">
      <c r="A74" s="13" t="n"/>
      <c r="B74" s="14" t="n"/>
      <c r="C74" s="19" t="n"/>
      <c r="D74" s="19" t="n"/>
      <c r="E74" s="19" t="n"/>
      <c r="F74" s="20" t="n"/>
      <c r="G74" s="21" t="n"/>
      <c r="H74" s="19" t="n"/>
      <c r="I74" s="18">
        <f>IF(COUNT(C74:D74)=0,"",C74+D74)</f>
        <v/>
      </c>
      <c r="J74" s="18">
        <f>IF(OR(A74="",F74=""),"",F74*IF(A74&lt;DATE(2026,7,1),Settings!$B$4,Settings!$B$5))</f>
        <v/>
      </c>
      <c r="K74" s="18">
        <f>IF(I74="","",I74-SUM(E74,H74))</f>
        <v/>
      </c>
      <c r="L74" s="18">
        <f>IF(OR(K74="",G74="",G74=0),"",K74/G74)</f>
        <v/>
      </c>
    </row>
    <row r="75">
      <c r="A75" s="13" t="n"/>
      <c r="B75" s="14" t="n"/>
      <c r="C75" s="19" t="n"/>
      <c r="D75" s="19" t="n"/>
      <c r="E75" s="19" t="n"/>
      <c r="F75" s="20" t="n"/>
      <c r="G75" s="21" t="n"/>
      <c r="H75" s="19" t="n"/>
      <c r="I75" s="18">
        <f>IF(COUNT(C75:D75)=0,"",C75+D75)</f>
        <v/>
      </c>
      <c r="J75" s="18">
        <f>IF(OR(A75="",F75=""),"",F75*IF(A75&lt;DATE(2026,7,1),Settings!$B$4,Settings!$B$5))</f>
        <v/>
      </c>
      <c r="K75" s="18">
        <f>IF(I75="","",I75-SUM(E75,H75))</f>
        <v/>
      </c>
      <c r="L75" s="18">
        <f>IF(OR(K75="",G75="",G75=0),"",K75/G75)</f>
        <v/>
      </c>
    </row>
    <row r="76">
      <c r="A76" s="13" t="n"/>
      <c r="B76" s="14" t="n"/>
      <c r="C76" s="19" t="n"/>
      <c r="D76" s="19" t="n"/>
      <c r="E76" s="19" t="n"/>
      <c r="F76" s="20" t="n"/>
      <c r="G76" s="21" t="n"/>
      <c r="H76" s="19" t="n"/>
      <c r="I76" s="18">
        <f>IF(COUNT(C76:D76)=0,"",C76+D76)</f>
        <v/>
      </c>
      <c r="J76" s="18">
        <f>IF(OR(A76="",F76=""),"",F76*IF(A76&lt;DATE(2026,7,1),Settings!$B$4,Settings!$B$5))</f>
        <v/>
      </c>
      <c r="K76" s="18">
        <f>IF(I76="","",I76-SUM(E76,H76))</f>
        <v/>
      </c>
      <c r="L76" s="18">
        <f>IF(OR(K76="",G76="",G76=0),"",K76/G76)</f>
        <v/>
      </c>
    </row>
    <row r="77">
      <c r="A77" s="13" t="n"/>
      <c r="B77" s="14" t="n"/>
      <c r="C77" s="19" t="n"/>
      <c r="D77" s="19" t="n"/>
      <c r="E77" s="19" t="n"/>
      <c r="F77" s="20" t="n"/>
      <c r="G77" s="21" t="n"/>
      <c r="H77" s="19" t="n"/>
      <c r="I77" s="18">
        <f>IF(COUNT(C77:D77)=0,"",C77+D77)</f>
        <v/>
      </c>
      <c r="J77" s="18">
        <f>IF(OR(A77="",F77=""),"",F77*IF(A77&lt;DATE(2026,7,1),Settings!$B$4,Settings!$B$5))</f>
        <v/>
      </c>
      <c r="K77" s="18">
        <f>IF(I77="","",I77-SUM(E77,H77))</f>
        <v/>
      </c>
      <c r="L77" s="18">
        <f>IF(OR(K77="",G77="",G77=0),"",K77/G77)</f>
        <v/>
      </c>
    </row>
    <row r="78">
      <c r="A78" s="13" t="n"/>
      <c r="B78" s="14" t="n"/>
      <c r="C78" s="19" t="n"/>
      <c r="D78" s="19" t="n"/>
      <c r="E78" s="19" t="n"/>
      <c r="F78" s="20" t="n"/>
      <c r="G78" s="21" t="n"/>
      <c r="H78" s="19" t="n"/>
      <c r="I78" s="18">
        <f>IF(COUNT(C78:D78)=0,"",C78+D78)</f>
        <v/>
      </c>
      <c r="J78" s="18">
        <f>IF(OR(A78="",F78=""),"",F78*IF(A78&lt;DATE(2026,7,1),Settings!$B$4,Settings!$B$5))</f>
        <v/>
      </c>
      <c r="K78" s="18">
        <f>IF(I78="","",I78-SUM(E78,H78))</f>
        <v/>
      </c>
      <c r="L78" s="18">
        <f>IF(OR(K78="",G78="",G78=0),"",K78/G78)</f>
        <v/>
      </c>
    </row>
    <row r="79">
      <c r="A79" s="13" t="n"/>
      <c r="B79" s="14" t="n"/>
      <c r="C79" s="19" t="n"/>
      <c r="D79" s="19" t="n"/>
      <c r="E79" s="19" t="n"/>
      <c r="F79" s="20" t="n"/>
      <c r="G79" s="21" t="n"/>
      <c r="H79" s="19" t="n"/>
      <c r="I79" s="18">
        <f>IF(COUNT(C79:D79)=0,"",C79+D79)</f>
        <v/>
      </c>
      <c r="J79" s="18">
        <f>IF(OR(A79="",F79=""),"",F79*IF(A79&lt;DATE(2026,7,1),Settings!$B$4,Settings!$B$5))</f>
        <v/>
      </c>
      <c r="K79" s="18">
        <f>IF(I79="","",I79-SUM(E79,H79))</f>
        <v/>
      </c>
      <c r="L79" s="18">
        <f>IF(OR(K79="",G79="",G79=0),"",K79/G79)</f>
        <v/>
      </c>
    </row>
    <row r="80">
      <c r="A80" s="13" t="n"/>
      <c r="B80" s="14" t="n"/>
      <c r="C80" s="19" t="n"/>
      <c r="D80" s="19" t="n"/>
      <c r="E80" s="19" t="n"/>
      <c r="F80" s="20" t="n"/>
      <c r="G80" s="21" t="n"/>
      <c r="H80" s="19" t="n"/>
      <c r="I80" s="18">
        <f>IF(COUNT(C80:D80)=0,"",C80+D80)</f>
        <v/>
      </c>
      <c r="J80" s="18">
        <f>IF(OR(A80="",F80=""),"",F80*IF(A80&lt;DATE(2026,7,1),Settings!$B$4,Settings!$B$5))</f>
        <v/>
      </c>
      <c r="K80" s="18">
        <f>IF(I80="","",I80-SUM(E80,H80))</f>
        <v/>
      </c>
      <c r="L80" s="18">
        <f>IF(OR(K80="",G80="",G80=0),"",K80/G80)</f>
        <v/>
      </c>
    </row>
    <row r="81">
      <c r="A81" s="13" t="n"/>
      <c r="B81" s="14" t="n"/>
      <c r="C81" s="19" t="n"/>
      <c r="D81" s="19" t="n"/>
      <c r="E81" s="19" t="n"/>
      <c r="F81" s="20" t="n"/>
      <c r="G81" s="21" t="n"/>
      <c r="H81" s="19" t="n"/>
      <c r="I81" s="18">
        <f>IF(COUNT(C81:D81)=0,"",C81+D81)</f>
        <v/>
      </c>
      <c r="J81" s="18">
        <f>IF(OR(A81="",F81=""),"",F81*IF(A81&lt;DATE(2026,7,1),Settings!$B$4,Settings!$B$5))</f>
        <v/>
      </c>
      <c r="K81" s="18">
        <f>IF(I81="","",I81-SUM(E81,H81))</f>
        <v/>
      </c>
      <c r="L81" s="18">
        <f>IF(OR(K81="",G81="",G81=0),"",K81/G81)</f>
        <v/>
      </c>
    </row>
    <row r="82">
      <c r="A82" s="13" t="n"/>
      <c r="B82" s="14" t="n"/>
      <c r="C82" s="19" t="n"/>
      <c r="D82" s="19" t="n"/>
      <c r="E82" s="19" t="n"/>
      <c r="F82" s="20" t="n"/>
      <c r="G82" s="21" t="n"/>
      <c r="H82" s="19" t="n"/>
      <c r="I82" s="18">
        <f>IF(COUNT(C82:D82)=0,"",C82+D82)</f>
        <v/>
      </c>
      <c r="J82" s="18">
        <f>IF(OR(A82="",F82=""),"",F82*IF(A82&lt;DATE(2026,7,1),Settings!$B$4,Settings!$B$5))</f>
        <v/>
      </c>
      <c r="K82" s="18">
        <f>IF(I82="","",I82-SUM(E82,H82))</f>
        <v/>
      </c>
      <c r="L82" s="18">
        <f>IF(OR(K82="",G82="",G82=0),"",K82/G82)</f>
        <v/>
      </c>
    </row>
    <row r="83">
      <c r="A83" s="13" t="n"/>
      <c r="B83" s="14" t="n"/>
      <c r="C83" s="19" t="n"/>
      <c r="D83" s="19" t="n"/>
      <c r="E83" s="19" t="n"/>
      <c r="F83" s="20" t="n"/>
      <c r="G83" s="21" t="n"/>
      <c r="H83" s="19" t="n"/>
      <c r="I83" s="18">
        <f>IF(COUNT(C83:D83)=0,"",C83+D83)</f>
        <v/>
      </c>
      <c r="J83" s="18">
        <f>IF(OR(A83="",F83=""),"",F83*IF(A83&lt;DATE(2026,7,1),Settings!$B$4,Settings!$B$5))</f>
        <v/>
      </c>
      <c r="K83" s="18">
        <f>IF(I83="","",I83-SUM(E83,H83))</f>
        <v/>
      </c>
      <c r="L83" s="18">
        <f>IF(OR(K83="",G83="",G83=0),"",K83/G83)</f>
        <v/>
      </c>
    </row>
    <row r="84">
      <c r="A84" s="13" t="n"/>
      <c r="B84" s="14" t="n"/>
      <c r="C84" s="19" t="n"/>
      <c r="D84" s="19" t="n"/>
      <c r="E84" s="19" t="n"/>
      <c r="F84" s="20" t="n"/>
      <c r="G84" s="21" t="n"/>
      <c r="H84" s="19" t="n"/>
      <c r="I84" s="18">
        <f>IF(COUNT(C84:D84)=0,"",C84+D84)</f>
        <v/>
      </c>
      <c r="J84" s="18">
        <f>IF(OR(A84="",F84=""),"",F84*IF(A84&lt;DATE(2026,7,1),Settings!$B$4,Settings!$B$5))</f>
        <v/>
      </c>
      <c r="K84" s="18">
        <f>IF(I84="","",I84-SUM(E84,H84))</f>
        <v/>
      </c>
      <c r="L84" s="18">
        <f>IF(OR(K84="",G84="",G84=0),"",K84/G84)</f>
        <v/>
      </c>
    </row>
    <row r="85">
      <c r="A85" s="13" t="n"/>
      <c r="B85" s="14" t="n"/>
      <c r="C85" s="19" t="n"/>
      <c r="D85" s="19" t="n"/>
      <c r="E85" s="19" t="n"/>
      <c r="F85" s="20" t="n"/>
      <c r="G85" s="21" t="n"/>
      <c r="H85" s="19" t="n"/>
      <c r="I85" s="18">
        <f>IF(COUNT(C85:D85)=0,"",C85+D85)</f>
        <v/>
      </c>
      <c r="J85" s="18">
        <f>IF(OR(A85="",F85=""),"",F85*IF(A85&lt;DATE(2026,7,1),Settings!$B$4,Settings!$B$5))</f>
        <v/>
      </c>
      <c r="K85" s="18">
        <f>IF(I85="","",I85-SUM(E85,H85))</f>
        <v/>
      </c>
      <c r="L85" s="18">
        <f>IF(OR(K85="",G85="",G85=0),"",K85/G85)</f>
        <v/>
      </c>
    </row>
    <row r="86">
      <c r="A86" s="13" t="n"/>
      <c r="B86" s="14" t="n"/>
      <c r="C86" s="19" t="n"/>
      <c r="D86" s="19" t="n"/>
      <c r="E86" s="19" t="n"/>
      <c r="F86" s="20" t="n"/>
      <c r="G86" s="21" t="n"/>
      <c r="H86" s="19" t="n"/>
      <c r="I86" s="18">
        <f>IF(COUNT(C86:D86)=0,"",C86+D86)</f>
        <v/>
      </c>
      <c r="J86" s="18">
        <f>IF(OR(A86="",F86=""),"",F86*IF(A86&lt;DATE(2026,7,1),Settings!$B$4,Settings!$B$5))</f>
        <v/>
      </c>
      <c r="K86" s="18">
        <f>IF(I86="","",I86-SUM(E86,H86))</f>
        <v/>
      </c>
      <c r="L86" s="18">
        <f>IF(OR(K86="",G86="",G86=0),"",K86/G86)</f>
        <v/>
      </c>
    </row>
    <row r="87">
      <c r="A87" s="13" t="n"/>
      <c r="B87" s="14" t="n"/>
      <c r="C87" s="19" t="n"/>
      <c r="D87" s="19" t="n"/>
      <c r="E87" s="19" t="n"/>
      <c r="F87" s="20" t="n"/>
      <c r="G87" s="21" t="n"/>
      <c r="H87" s="19" t="n"/>
      <c r="I87" s="18">
        <f>IF(COUNT(C87:D87)=0,"",C87+D87)</f>
        <v/>
      </c>
      <c r="J87" s="18">
        <f>IF(OR(A87="",F87=""),"",F87*IF(A87&lt;DATE(2026,7,1),Settings!$B$4,Settings!$B$5))</f>
        <v/>
      </c>
      <c r="K87" s="18">
        <f>IF(I87="","",I87-SUM(E87,H87))</f>
        <v/>
      </c>
      <c r="L87" s="18">
        <f>IF(OR(K87="",G87="",G87=0),"",K87/G87)</f>
        <v/>
      </c>
    </row>
    <row r="88">
      <c r="A88" s="13" t="n"/>
      <c r="B88" s="14" t="n"/>
      <c r="C88" s="19" t="n"/>
      <c r="D88" s="19" t="n"/>
      <c r="E88" s="19" t="n"/>
      <c r="F88" s="20" t="n"/>
      <c r="G88" s="21" t="n"/>
      <c r="H88" s="19" t="n"/>
      <c r="I88" s="18">
        <f>IF(COUNT(C88:D88)=0,"",C88+D88)</f>
        <v/>
      </c>
      <c r="J88" s="18">
        <f>IF(OR(A88="",F88=""),"",F88*IF(A88&lt;DATE(2026,7,1),Settings!$B$4,Settings!$B$5))</f>
        <v/>
      </c>
      <c r="K88" s="18">
        <f>IF(I88="","",I88-SUM(E88,H88))</f>
        <v/>
      </c>
      <c r="L88" s="18">
        <f>IF(OR(K88="",G88="",G88=0),"",K88/G88)</f>
        <v/>
      </c>
    </row>
    <row r="89">
      <c r="A89" s="13" t="n"/>
      <c r="B89" s="14" t="n"/>
      <c r="C89" s="19" t="n"/>
      <c r="D89" s="19" t="n"/>
      <c r="E89" s="19" t="n"/>
      <c r="F89" s="20" t="n"/>
      <c r="G89" s="21" t="n"/>
      <c r="H89" s="19" t="n"/>
      <c r="I89" s="18">
        <f>IF(COUNT(C89:D89)=0,"",C89+D89)</f>
        <v/>
      </c>
      <c r="J89" s="18">
        <f>IF(OR(A89="",F89=""),"",F89*IF(A89&lt;DATE(2026,7,1),Settings!$B$4,Settings!$B$5))</f>
        <v/>
      </c>
      <c r="K89" s="18">
        <f>IF(I89="","",I89-SUM(E89,H89))</f>
        <v/>
      </c>
      <c r="L89" s="18">
        <f>IF(OR(K89="",G89="",G89=0),"",K89/G89)</f>
        <v/>
      </c>
    </row>
    <row r="90">
      <c r="A90" s="13" t="n"/>
      <c r="B90" s="14" t="n"/>
      <c r="C90" s="19" t="n"/>
      <c r="D90" s="19" t="n"/>
      <c r="E90" s="19" t="n"/>
      <c r="F90" s="20" t="n"/>
      <c r="G90" s="21" t="n"/>
      <c r="H90" s="19" t="n"/>
      <c r="I90" s="18">
        <f>IF(COUNT(C90:D90)=0,"",C90+D90)</f>
        <v/>
      </c>
      <c r="J90" s="18">
        <f>IF(OR(A90="",F90=""),"",F90*IF(A90&lt;DATE(2026,7,1),Settings!$B$4,Settings!$B$5))</f>
        <v/>
      </c>
      <c r="K90" s="18">
        <f>IF(I90="","",I90-SUM(E90,H90))</f>
        <v/>
      </c>
      <c r="L90" s="18">
        <f>IF(OR(K90="",G90="",G90=0),"",K90/G90)</f>
        <v/>
      </c>
    </row>
    <row r="91">
      <c r="A91" s="13" t="n"/>
      <c r="B91" s="14" t="n"/>
      <c r="C91" s="19" t="n"/>
      <c r="D91" s="19" t="n"/>
      <c r="E91" s="19" t="n"/>
      <c r="F91" s="20" t="n"/>
      <c r="G91" s="21" t="n"/>
      <c r="H91" s="19" t="n"/>
      <c r="I91" s="18">
        <f>IF(COUNT(C91:D91)=0,"",C91+D91)</f>
        <v/>
      </c>
      <c r="J91" s="18">
        <f>IF(OR(A91="",F91=""),"",F91*IF(A91&lt;DATE(2026,7,1),Settings!$B$4,Settings!$B$5))</f>
        <v/>
      </c>
      <c r="K91" s="18">
        <f>IF(I91="","",I91-SUM(E91,H91))</f>
        <v/>
      </c>
      <c r="L91" s="18">
        <f>IF(OR(K91="",G91="",G91=0),"",K91/G91)</f>
        <v/>
      </c>
    </row>
    <row r="92">
      <c r="A92" s="13" t="n"/>
      <c r="B92" s="14" t="n"/>
      <c r="C92" s="19" t="n"/>
      <c r="D92" s="19" t="n"/>
      <c r="E92" s="19" t="n"/>
      <c r="F92" s="20" t="n"/>
      <c r="G92" s="21" t="n"/>
      <c r="H92" s="19" t="n"/>
      <c r="I92" s="18">
        <f>IF(COUNT(C92:D92)=0,"",C92+D92)</f>
        <v/>
      </c>
      <c r="J92" s="18">
        <f>IF(OR(A92="",F92=""),"",F92*IF(A92&lt;DATE(2026,7,1),Settings!$B$4,Settings!$B$5))</f>
        <v/>
      </c>
      <c r="K92" s="18">
        <f>IF(I92="","",I92-SUM(E92,H92))</f>
        <v/>
      </c>
      <c r="L92" s="18">
        <f>IF(OR(K92="",G92="",G92=0),"",K92/G92)</f>
        <v/>
      </c>
    </row>
    <row r="93">
      <c r="A93" s="13" t="n"/>
      <c r="B93" s="14" t="n"/>
      <c r="C93" s="19" t="n"/>
      <c r="D93" s="19" t="n"/>
      <c r="E93" s="19" t="n"/>
      <c r="F93" s="20" t="n"/>
      <c r="G93" s="21" t="n"/>
      <c r="H93" s="19" t="n"/>
      <c r="I93" s="18">
        <f>IF(COUNT(C93:D93)=0,"",C93+D93)</f>
        <v/>
      </c>
      <c r="J93" s="18">
        <f>IF(OR(A93="",F93=""),"",F93*IF(A93&lt;DATE(2026,7,1),Settings!$B$4,Settings!$B$5))</f>
        <v/>
      </c>
      <c r="K93" s="18">
        <f>IF(I93="","",I93-SUM(E93,H93))</f>
        <v/>
      </c>
      <c r="L93" s="18">
        <f>IF(OR(K93="",G93="",G93=0),"",K93/G93)</f>
        <v/>
      </c>
    </row>
    <row r="94">
      <c r="A94" s="13" t="n"/>
      <c r="B94" s="14" t="n"/>
      <c r="C94" s="19" t="n"/>
      <c r="D94" s="19" t="n"/>
      <c r="E94" s="19" t="n"/>
      <c r="F94" s="20" t="n"/>
      <c r="G94" s="21" t="n"/>
      <c r="H94" s="19" t="n"/>
      <c r="I94" s="18">
        <f>IF(COUNT(C94:D94)=0,"",C94+D94)</f>
        <v/>
      </c>
      <c r="J94" s="18">
        <f>IF(OR(A94="",F94=""),"",F94*IF(A94&lt;DATE(2026,7,1),Settings!$B$4,Settings!$B$5))</f>
        <v/>
      </c>
      <c r="K94" s="18">
        <f>IF(I94="","",I94-SUM(E94,H94))</f>
        <v/>
      </c>
      <c r="L94" s="18">
        <f>IF(OR(K94="",G94="",G94=0),"",K94/G94)</f>
        <v/>
      </c>
    </row>
    <row r="95">
      <c r="A95" s="13" t="n"/>
      <c r="B95" s="14" t="n"/>
      <c r="C95" s="19" t="n"/>
      <c r="D95" s="19" t="n"/>
      <c r="E95" s="19" t="n"/>
      <c r="F95" s="20" t="n"/>
      <c r="G95" s="21" t="n"/>
      <c r="H95" s="19" t="n"/>
      <c r="I95" s="18">
        <f>IF(COUNT(C95:D95)=0,"",C95+D95)</f>
        <v/>
      </c>
      <c r="J95" s="18">
        <f>IF(OR(A95="",F95=""),"",F95*IF(A95&lt;DATE(2026,7,1),Settings!$B$4,Settings!$B$5))</f>
        <v/>
      </c>
      <c r="K95" s="18">
        <f>IF(I95="","",I95-SUM(E95,H95))</f>
        <v/>
      </c>
      <c r="L95" s="18">
        <f>IF(OR(K95="",G95="",G95=0),"",K95/G95)</f>
        <v/>
      </c>
    </row>
    <row r="96">
      <c r="A96" s="13" t="n"/>
      <c r="B96" s="14" t="n"/>
      <c r="C96" s="19" t="n"/>
      <c r="D96" s="19" t="n"/>
      <c r="E96" s="19" t="n"/>
      <c r="F96" s="20" t="n"/>
      <c r="G96" s="21" t="n"/>
      <c r="H96" s="19" t="n"/>
      <c r="I96" s="18">
        <f>IF(COUNT(C96:D96)=0,"",C96+D96)</f>
        <v/>
      </c>
      <c r="J96" s="18">
        <f>IF(OR(A96="",F96=""),"",F96*IF(A96&lt;DATE(2026,7,1),Settings!$B$4,Settings!$B$5))</f>
        <v/>
      </c>
      <c r="K96" s="18">
        <f>IF(I96="","",I96-SUM(E96,H96))</f>
        <v/>
      </c>
      <c r="L96" s="18">
        <f>IF(OR(K96="",G96="",G96=0),"",K96/G96)</f>
        <v/>
      </c>
    </row>
    <row r="97">
      <c r="A97" s="13" t="n"/>
      <c r="B97" s="14" t="n"/>
      <c r="C97" s="19" t="n"/>
      <c r="D97" s="19" t="n"/>
      <c r="E97" s="19" t="n"/>
      <c r="F97" s="20" t="n"/>
      <c r="G97" s="21" t="n"/>
      <c r="H97" s="19" t="n"/>
      <c r="I97" s="18">
        <f>IF(COUNT(C97:D97)=0,"",C97+D97)</f>
        <v/>
      </c>
      <c r="J97" s="18">
        <f>IF(OR(A97="",F97=""),"",F97*IF(A97&lt;DATE(2026,7,1),Settings!$B$4,Settings!$B$5))</f>
        <v/>
      </c>
      <c r="K97" s="18">
        <f>IF(I97="","",I97-SUM(E97,H97))</f>
        <v/>
      </c>
      <c r="L97" s="18">
        <f>IF(OR(K97="",G97="",G97=0),"",K97/G97)</f>
        <v/>
      </c>
    </row>
    <row r="98">
      <c r="A98" s="13" t="n"/>
      <c r="B98" s="14" t="n"/>
      <c r="C98" s="19" t="n"/>
      <c r="D98" s="19" t="n"/>
      <c r="E98" s="19" t="n"/>
      <c r="F98" s="20" t="n"/>
      <c r="G98" s="21" t="n"/>
      <c r="H98" s="19" t="n"/>
      <c r="I98" s="18">
        <f>IF(COUNT(C98:D98)=0,"",C98+D98)</f>
        <v/>
      </c>
      <c r="J98" s="18">
        <f>IF(OR(A98="",F98=""),"",F98*IF(A98&lt;DATE(2026,7,1),Settings!$B$4,Settings!$B$5))</f>
        <v/>
      </c>
      <c r="K98" s="18">
        <f>IF(I98="","",I98-SUM(E98,H98))</f>
        <v/>
      </c>
      <c r="L98" s="18">
        <f>IF(OR(K98="",G98="",G98=0),"",K98/G98)</f>
        <v/>
      </c>
    </row>
    <row r="99">
      <c r="A99" s="13" t="n"/>
      <c r="B99" s="14" t="n"/>
      <c r="C99" s="19" t="n"/>
      <c r="D99" s="19" t="n"/>
      <c r="E99" s="19" t="n"/>
      <c r="F99" s="20" t="n"/>
      <c r="G99" s="21" t="n"/>
      <c r="H99" s="19" t="n"/>
      <c r="I99" s="18">
        <f>IF(COUNT(C99:D99)=0,"",C99+D99)</f>
        <v/>
      </c>
      <c r="J99" s="18">
        <f>IF(OR(A99="",F99=""),"",F99*IF(A99&lt;DATE(2026,7,1),Settings!$B$4,Settings!$B$5))</f>
        <v/>
      </c>
      <c r="K99" s="18">
        <f>IF(I99="","",I99-SUM(E99,H99))</f>
        <v/>
      </c>
      <c r="L99" s="18">
        <f>IF(OR(K99="",G99="",G99=0),"",K99/G99)</f>
        <v/>
      </c>
    </row>
    <row r="100">
      <c r="A100" s="13" t="n"/>
      <c r="B100" s="14" t="n"/>
      <c r="C100" s="19" t="n"/>
      <c r="D100" s="19" t="n"/>
      <c r="E100" s="19" t="n"/>
      <c r="F100" s="20" t="n"/>
      <c r="G100" s="21" t="n"/>
      <c r="H100" s="19" t="n"/>
      <c r="I100" s="18">
        <f>IF(COUNT(C100:D100)=0,"",C100+D100)</f>
        <v/>
      </c>
      <c r="J100" s="18">
        <f>IF(OR(A100="",F100=""),"",F100*IF(A100&lt;DATE(2026,7,1),Settings!$B$4,Settings!$B$5))</f>
        <v/>
      </c>
      <c r="K100" s="18">
        <f>IF(I100="","",I100-SUM(E100,H100))</f>
        <v/>
      </c>
      <c r="L100" s="18">
        <f>IF(OR(K100="",G100="",G100=0),"",K100/G100)</f>
        <v/>
      </c>
    </row>
    <row r="101">
      <c r="A101" s="13" t="n"/>
      <c r="B101" s="14" t="n"/>
      <c r="C101" s="19" t="n"/>
      <c r="D101" s="19" t="n"/>
      <c r="E101" s="19" t="n"/>
      <c r="F101" s="20" t="n"/>
      <c r="G101" s="21" t="n"/>
      <c r="H101" s="19" t="n"/>
      <c r="I101" s="18">
        <f>IF(COUNT(C101:D101)=0,"",C101+D101)</f>
        <v/>
      </c>
      <c r="J101" s="18">
        <f>IF(OR(A101="",F101=""),"",F101*IF(A101&lt;DATE(2026,7,1),Settings!$B$4,Settings!$B$5))</f>
        <v/>
      </c>
      <c r="K101" s="18">
        <f>IF(I101="","",I101-SUM(E101,H101))</f>
        <v/>
      </c>
      <c r="L101" s="18">
        <f>IF(OR(K101="",G101="",G101=0),"",K101/G101)</f>
        <v/>
      </c>
    </row>
    <row r="102">
      <c r="A102" s="13" t="n"/>
      <c r="B102" s="14" t="n"/>
      <c r="C102" s="19" t="n"/>
      <c r="D102" s="19" t="n"/>
      <c r="E102" s="19" t="n"/>
      <c r="F102" s="20" t="n"/>
      <c r="G102" s="21" t="n"/>
      <c r="H102" s="19" t="n"/>
      <c r="I102" s="18">
        <f>IF(COUNT(C102:D102)=0,"",C102+D102)</f>
        <v/>
      </c>
      <c r="J102" s="18">
        <f>IF(OR(A102="",F102=""),"",F102*IF(A102&lt;DATE(2026,7,1),Settings!$B$4,Settings!$B$5))</f>
        <v/>
      </c>
      <c r="K102" s="18">
        <f>IF(I102="","",I102-SUM(E102,H102))</f>
        <v/>
      </c>
      <c r="L102" s="18">
        <f>IF(OR(K102="",G102="",G102=0),"",K102/G102)</f>
        <v/>
      </c>
    </row>
    <row r="103">
      <c r="A103" s="13" t="n"/>
      <c r="B103" s="14" t="n"/>
      <c r="C103" s="19" t="n"/>
      <c r="D103" s="19" t="n"/>
      <c r="E103" s="19" t="n"/>
      <c r="F103" s="20" t="n"/>
      <c r="G103" s="21" t="n"/>
      <c r="H103" s="19" t="n"/>
      <c r="I103" s="18">
        <f>IF(COUNT(C103:D103)=0,"",C103+D103)</f>
        <v/>
      </c>
      <c r="J103" s="18">
        <f>IF(OR(A103="",F103=""),"",F103*IF(A103&lt;DATE(2026,7,1),Settings!$B$4,Settings!$B$5))</f>
        <v/>
      </c>
      <c r="K103" s="18">
        <f>IF(I103="","",I103-SUM(E103,H103))</f>
        <v/>
      </c>
      <c r="L103" s="18">
        <f>IF(OR(K103="",G103="",G103=0),"",K103/G103)</f>
        <v/>
      </c>
    </row>
    <row r="104">
      <c r="A104" s="13" t="n"/>
      <c r="B104" s="14" t="n"/>
      <c r="C104" s="19" t="n"/>
      <c r="D104" s="19" t="n"/>
      <c r="E104" s="19" t="n"/>
      <c r="F104" s="20" t="n"/>
      <c r="G104" s="21" t="n"/>
      <c r="H104" s="19" t="n"/>
      <c r="I104" s="18">
        <f>IF(COUNT(C104:D104)=0,"",C104+D104)</f>
        <v/>
      </c>
      <c r="J104" s="18">
        <f>IF(OR(A104="",F104=""),"",F104*IF(A104&lt;DATE(2026,7,1),Settings!$B$4,Settings!$B$5))</f>
        <v/>
      </c>
      <c r="K104" s="18">
        <f>IF(I104="","",I104-SUM(E104,H104))</f>
        <v/>
      </c>
      <c r="L104" s="18">
        <f>IF(OR(K104="",G104="",G104=0),"",K104/G104)</f>
        <v/>
      </c>
    </row>
    <row r="105">
      <c r="A105" s="13" t="n"/>
      <c r="B105" s="14" t="n"/>
      <c r="C105" s="19" t="n"/>
      <c r="D105" s="19" t="n"/>
      <c r="E105" s="19" t="n"/>
      <c r="F105" s="20" t="n"/>
      <c r="G105" s="21" t="n"/>
      <c r="H105" s="19" t="n"/>
      <c r="I105" s="18">
        <f>IF(COUNT(C105:D105)=0,"",C105+D105)</f>
        <v/>
      </c>
      <c r="J105" s="18">
        <f>IF(OR(A105="",F105=""),"",F105*IF(A105&lt;DATE(2026,7,1),Settings!$B$4,Settings!$B$5))</f>
        <v/>
      </c>
      <c r="K105" s="18">
        <f>IF(I105="","",I105-SUM(E105,H105))</f>
        <v/>
      </c>
      <c r="L105" s="18">
        <f>IF(OR(K105="",G105="",G105=0),"",K105/G105)</f>
        <v/>
      </c>
    </row>
    <row r="106">
      <c r="A106" s="13" t="n"/>
      <c r="B106" s="14" t="n"/>
      <c r="C106" s="19" t="n"/>
      <c r="D106" s="19" t="n"/>
      <c r="E106" s="19" t="n"/>
      <c r="F106" s="20" t="n"/>
      <c r="G106" s="21" t="n"/>
      <c r="H106" s="19" t="n"/>
      <c r="I106" s="18">
        <f>IF(COUNT(C106:D106)=0,"",C106+D106)</f>
        <v/>
      </c>
      <c r="J106" s="18">
        <f>IF(OR(A106="",F106=""),"",F106*IF(A106&lt;DATE(2026,7,1),Settings!$B$4,Settings!$B$5))</f>
        <v/>
      </c>
      <c r="K106" s="18">
        <f>IF(I106="","",I106-SUM(E106,H106))</f>
        <v/>
      </c>
      <c r="L106" s="18">
        <f>IF(OR(K106="",G106="",G106=0),"",K106/G106)</f>
        <v/>
      </c>
    </row>
    <row r="107">
      <c r="A107" s="13" t="n"/>
      <c r="B107" s="14" t="n"/>
      <c r="C107" s="19" t="n"/>
      <c r="D107" s="19" t="n"/>
      <c r="E107" s="19" t="n"/>
      <c r="F107" s="20" t="n"/>
      <c r="G107" s="21" t="n"/>
      <c r="H107" s="19" t="n"/>
      <c r="I107" s="18">
        <f>IF(COUNT(C107:D107)=0,"",C107+D107)</f>
        <v/>
      </c>
      <c r="J107" s="18">
        <f>IF(OR(A107="",F107=""),"",F107*IF(A107&lt;DATE(2026,7,1),Settings!$B$4,Settings!$B$5))</f>
        <v/>
      </c>
      <c r="K107" s="18">
        <f>IF(I107="","",I107-SUM(E107,H107))</f>
        <v/>
      </c>
      <c r="L107" s="18">
        <f>IF(OR(K107="",G107="",G107=0),"",K107/G107)</f>
        <v/>
      </c>
    </row>
    <row r="108">
      <c r="A108" s="13" t="n"/>
      <c r="B108" s="14" t="n"/>
      <c r="C108" s="19" t="n"/>
      <c r="D108" s="19" t="n"/>
      <c r="E108" s="19" t="n"/>
      <c r="F108" s="20" t="n"/>
      <c r="G108" s="21" t="n"/>
      <c r="H108" s="19" t="n"/>
      <c r="I108" s="18">
        <f>IF(COUNT(C108:D108)=0,"",C108+D108)</f>
        <v/>
      </c>
      <c r="J108" s="18">
        <f>IF(OR(A108="",F108=""),"",F108*IF(A108&lt;DATE(2026,7,1),Settings!$B$4,Settings!$B$5))</f>
        <v/>
      </c>
      <c r="K108" s="18">
        <f>IF(I108="","",I108-SUM(E108,H108))</f>
        <v/>
      </c>
      <c r="L108" s="18">
        <f>IF(OR(K108="",G108="",G108=0),"",K108/G108)</f>
        <v/>
      </c>
    </row>
    <row r="110">
      <c r="A110" s="22" t="inlineStr">
        <is>
          <t>Totals</t>
        </is>
      </c>
      <c r="C110" s="23">
        <f>SUM(C5:C108)</f>
        <v/>
      </c>
      <c r="D110" s="23">
        <f>SUM(D5:D108)</f>
        <v/>
      </c>
      <c r="E110" s="23">
        <f>SUM(E5:E108)</f>
        <v/>
      </c>
      <c r="F110" s="24">
        <f>SUM(F5:F108)</f>
        <v/>
      </c>
      <c r="G110" s="25">
        <f>SUM(G5:G108)</f>
        <v/>
      </c>
      <c r="H110" s="23">
        <f>SUM(H5:H108)</f>
        <v/>
      </c>
      <c r="I110" s="23">
        <f>SUM(I5:I108)</f>
        <v/>
      </c>
      <c r="J110" s="23">
        <f>SUM(J5:J108)</f>
        <v/>
      </c>
      <c r="K110" s="23">
        <f>SUM(K5:K108)</f>
        <v/>
      </c>
      <c r="L110" s="26">
        <f>IF(G110=0,"",K110/G110)</f>
        <v/>
      </c>
    </row>
  </sheetData>
  <autoFilter ref="A4:L108"/>
  <mergeCells count="2">
    <mergeCell ref="A2:L2"/>
    <mergeCell ref="A1:L1"/>
  </mergeCells>
  <printOptions horizontalCentered="1"/>
  <pageMargins left="0.5" right="0.5" top="0.75" bottom="0.75" header="0.5" footer="0.5"/>
  <pageSetup orientation="landscape" paperSize="3" fitToHeight="0" fitToWidth="1"/>
  <headerFooter>
    <oddHeader>&amp;LGigMath Pro Kit — Weekly earnings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4A46B"/>
    <outlinePr summaryBelow="1" summaryRight="1"/>
    <pageSetUpPr fitToPage="1"/>
  </sheetPr>
  <dimension ref="A1:F156"/>
  <sheetViews>
    <sheetView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14" customWidth="1" min="4" max="4"/>
    <col width="26" customWidth="1" min="5" max="5"/>
    <col width="20" customWidth="1" min="6" max="6"/>
  </cols>
  <sheetData>
    <row r="1">
      <c r="A1" s="1" t="inlineStr">
        <is>
          <t>Expense tracker</t>
        </is>
      </c>
    </row>
    <row r="2" ht="36" customHeight="1">
      <c r="A2" s="2" t="inlineStr">
        <is>
          <t>Parking, tolls, the business percentage of car-loan interest, and other non-mileage costs. If you use the standard mileage method, do not list gas, insurance, repairs, or registration here — those are inside the IRS rate. If you use actual costs, record fuel either here or on Weekly Earnings, not both. Business use of 100% is 1.</t>
        </is>
      </c>
    </row>
    <row r="4">
      <c r="A4" s="3" t="inlineStr">
        <is>
          <t>Date</t>
        </is>
      </c>
      <c r="B4" s="3" t="inlineStr">
        <is>
          <t>Category</t>
        </is>
      </c>
      <c r="C4" s="3" t="inlineStr">
        <is>
          <t>Description</t>
        </is>
      </c>
      <c r="D4" s="3" t="inlineStr">
        <is>
          <t>Amount</t>
        </is>
      </c>
      <c r="E4" s="3" t="inlineStr">
        <is>
          <t>Business use (1 = 100%)</t>
        </is>
      </c>
      <c r="F4" s="3" t="inlineStr">
        <is>
          <t>Deductible amount</t>
        </is>
      </c>
    </row>
    <row r="5">
      <c r="A5" s="13" t="n"/>
      <c r="B5" s="14" t="n"/>
      <c r="C5" s="14" t="n"/>
      <c r="D5" s="19" t="n"/>
      <c r="E5" s="27" t="n"/>
      <c r="F5" s="18">
        <f>IF(OR(D5="",E5=""),"",D5*E5)</f>
        <v/>
      </c>
    </row>
    <row r="6">
      <c r="A6" s="13" t="n"/>
      <c r="B6" s="14" t="n"/>
      <c r="C6" s="14" t="n"/>
      <c r="D6" s="19" t="n"/>
      <c r="E6" s="27" t="n"/>
      <c r="F6" s="18">
        <f>IF(OR(D6="",E6=""),"",D6*E6)</f>
        <v/>
      </c>
    </row>
    <row r="7">
      <c r="A7" s="13" t="n"/>
      <c r="B7" s="14" t="n"/>
      <c r="C7" s="14" t="n"/>
      <c r="D7" s="19" t="n"/>
      <c r="E7" s="27" t="n"/>
      <c r="F7" s="18">
        <f>IF(OR(D7="",E7=""),"",D7*E7)</f>
        <v/>
      </c>
    </row>
    <row r="8">
      <c r="A8" s="13" t="n"/>
      <c r="B8" s="14" t="n"/>
      <c r="C8" s="14" t="n"/>
      <c r="D8" s="19" t="n"/>
      <c r="E8" s="27" t="n"/>
      <c r="F8" s="18">
        <f>IF(OR(D8="",E8=""),"",D8*E8)</f>
        <v/>
      </c>
    </row>
    <row r="9">
      <c r="A9" s="13" t="n"/>
      <c r="B9" s="14" t="n"/>
      <c r="C9" s="14" t="n"/>
      <c r="D9" s="19" t="n"/>
      <c r="E9" s="27" t="n"/>
      <c r="F9" s="18">
        <f>IF(OR(D9="",E9=""),"",D9*E9)</f>
        <v/>
      </c>
    </row>
    <row r="10">
      <c r="A10" s="13" t="n"/>
      <c r="B10" s="14" t="n"/>
      <c r="C10" s="14" t="n"/>
      <c r="D10" s="19" t="n"/>
      <c r="E10" s="27" t="n"/>
      <c r="F10" s="18">
        <f>IF(OR(D10="",E10=""),"",D10*E10)</f>
        <v/>
      </c>
    </row>
    <row r="11">
      <c r="A11" s="13" t="n"/>
      <c r="B11" s="14" t="n"/>
      <c r="C11" s="14" t="n"/>
      <c r="D11" s="19" t="n"/>
      <c r="E11" s="27" t="n"/>
      <c r="F11" s="18">
        <f>IF(OR(D11="",E11=""),"",D11*E11)</f>
        <v/>
      </c>
    </row>
    <row r="12">
      <c r="A12" s="13" t="n"/>
      <c r="B12" s="14" t="n"/>
      <c r="C12" s="14" t="n"/>
      <c r="D12" s="19" t="n"/>
      <c r="E12" s="27" t="n"/>
      <c r="F12" s="18">
        <f>IF(OR(D12="",E12=""),"",D12*E12)</f>
        <v/>
      </c>
    </row>
    <row r="13">
      <c r="A13" s="13" t="n"/>
      <c r="B13" s="14" t="n"/>
      <c r="C13" s="14" t="n"/>
      <c r="D13" s="19" t="n"/>
      <c r="E13" s="27" t="n"/>
      <c r="F13" s="18">
        <f>IF(OR(D13="",E13=""),"",D13*E13)</f>
        <v/>
      </c>
    </row>
    <row r="14">
      <c r="A14" s="13" t="n"/>
      <c r="B14" s="14" t="n"/>
      <c r="C14" s="14" t="n"/>
      <c r="D14" s="19" t="n"/>
      <c r="E14" s="27" t="n"/>
      <c r="F14" s="18">
        <f>IF(OR(D14="",E14=""),"",D14*E14)</f>
        <v/>
      </c>
    </row>
    <row r="15">
      <c r="A15" s="13" t="n"/>
      <c r="B15" s="14" t="n"/>
      <c r="C15" s="14" t="n"/>
      <c r="D15" s="19" t="n"/>
      <c r="E15" s="27" t="n"/>
      <c r="F15" s="18">
        <f>IF(OR(D15="",E15=""),"",D15*E15)</f>
        <v/>
      </c>
    </row>
    <row r="16">
      <c r="A16" s="13" t="n"/>
      <c r="B16" s="14" t="n"/>
      <c r="C16" s="14" t="n"/>
      <c r="D16" s="19" t="n"/>
      <c r="E16" s="27" t="n"/>
      <c r="F16" s="18">
        <f>IF(OR(D16="",E16=""),"",D16*E16)</f>
        <v/>
      </c>
    </row>
    <row r="17">
      <c r="A17" s="13" t="n"/>
      <c r="B17" s="14" t="n"/>
      <c r="C17" s="14" t="n"/>
      <c r="D17" s="19" t="n"/>
      <c r="E17" s="27" t="n"/>
      <c r="F17" s="18">
        <f>IF(OR(D17="",E17=""),"",D17*E17)</f>
        <v/>
      </c>
    </row>
    <row r="18">
      <c r="A18" s="13" t="n"/>
      <c r="B18" s="14" t="n"/>
      <c r="C18" s="14" t="n"/>
      <c r="D18" s="19" t="n"/>
      <c r="E18" s="27" t="n"/>
      <c r="F18" s="18">
        <f>IF(OR(D18="",E18=""),"",D18*E18)</f>
        <v/>
      </c>
    </row>
    <row r="19">
      <c r="A19" s="13" t="n"/>
      <c r="B19" s="14" t="n"/>
      <c r="C19" s="14" t="n"/>
      <c r="D19" s="19" t="n"/>
      <c r="E19" s="27" t="n"/>
      <c r="F19" s="18">
        <f>IF(OR(D19="",E19=""),"",D19*E19)</f>
        <v/>
      </c>
    </row>
    <row r="20">
      <c r="A20" s="13" t="n"/>
      <c r="B20" s="14" t="n"/>
      <c r="C20" s="14" t="n"/>
      <c r="D20" s="19" t="n"/>
      <c r="E20" s="27" t="n"/>
      <c r="F20" s="18">
        <f>IF(OR(D20="",E20=""),"",D20*E20)</f>
        <v/>
      </c>
    </row>
    <row r="21">
      <c r="A21" s="13" t="n"/>
      <c r="B21" s="14" t="n"/>
      <c r="C21" s="14" t="n"/>
      <c r="D21" s="19" t="n"/>
      <c r="E21" s="27" t="n"/>
      <c r="F21" s="18">
        <f>IF(OR(D21="",E21=""),"",D21*E21)</f>
        <v/>
      </c>
    </row>
    <row r="22">
      <c r="A22" s="13" t="n"/>
      <c r="B22" s="14" t="n"/>
      <c r="C22" s="14" t="n"/>
      <c r="D22" s="19" t="n"/>
      <c r="E22" s="27" t="n"/>
      <c r="F22" s="18">
        <f>IF(OR(D22="",E22=""),"",D22*E22)</f>
        <v/>
      </c>
    </row>
    <row r="23">
      <c r="A23" s="13" t="n"/>
      <c r="B23" s="14" t="n"/>
      <c r="C23" s="14" t="n"/>
      <c r="D23" s="19" t="n"/>
      <c r="E23" s="27" t="n"/>
      <c r="F23" s="18">
        <f>IF(OR(D23="",E23=""),"",D23*E23)</f>
        <v/>
      </c>
    </row>
    <row r="24">
      <c r="A24" s="13" t="n"/>
      <c r="B24" s="14" t="n"/>
      <c r="C24" s="14" t="n"/>
      <c r="D24" s="19" t="n"/>
      <c r="E24" s="27" t="n"/>
      <c r="F24" s="18">
        <f>IF(OR(D24="",E24=""),"",D24*E24)</f>
        <v/>
      </c>
    </row>
    <row r="25">
      <c r="A25" s="13" t="n"/>
      <c r="B25" s="14" t="n"/>
      <c r="C25" s="14" t="n"/>
      <c r="D25" s="19" t="n"/>
      <c r="E25" s="27" t="n"/>
      <c r="F25" s="18">
        <f>IF(OR(D25="",E25=""),"",D25*E25)</f>
        <v/>
      </c>
    </row>
    <row r="26">
      <c r="A26" s="13" t="n"/>
      <c r="B26" s="14" t="n"/>
      <c r="C26" s="14" t="n"/>
      <c r="D26" s="19" t="n"/>
      <c r="E26" s="27" t="n"/>
      <c r="F26" s="18">
        <f>IF(OR(D26="",E26=""),"",D26*E26)</f>
        <v/>
      </c>
    </row>
    <row r="27">
      <c r="A27" s="13" t="n"/>
      <c r="B27" s="14" t="n"/>
      <c r="C27" s="14" t="n"/>
      <c r="D27" s="19" t="n"/>
      <c r="E27" s="27" t="n"/>
      <c r="F27" s="18">
        <f>IF(OR(D27="",E27=""),"",D27*E27)</f>
        <v/>
      </c>
    </row>
    <row r="28">
      <c r="A28" s="13" t="n"/>
      <c r="B28" s="14" t="n"/>
      <c r="C28" s="14" t="n"/>
      <c r="D28" s="19" t="n"/>
      <c r="E28" s="27" t="n"/>
      <c r="F28" s="18">
        <f>IF(OR(D28="",E28=""),"",D28*E28)</f>
        <v/>
      </c>
    </row>
    <row r="29">
      <c r="A29" s="13" t="n"/>
      <c r="B29" s="14" t="n"/>
      <c r="C29" s="14" t="n"/>
      <c r="D29" s="19" t="n"/>
      <c r="E29" s="27" t="n"/>
      <c r="F29" s="18">
        <f>IF(OR(D29="",E29=""),"",D29*E29)</f>
        <v/>
      </c>
    </row>
    <row r="30">
      <c r="A30" s="13" t="n"/>
      <c r="B30" s="14" t="n"/>
      <c r="C30" s="14" t="n"/>
      <c r="D30" s="19" t="n"/>
      <c r="E30" s="27" t="n"/>
      <c r="F30" s="18">
        <f>IF(OR(D30="",E30=""),"",D30*E30)</f>
        <v/>
      </c>
    </row>
    <row r="31">
      <c r="A31" s="13" t="n"/>
      <c r="B31" s="14" t="n"/>
      <c r="C31" s="14" t="n"/>
      <c r="D31" s="19" t="n"/>
      <c r="E31" s="27" t="n"/>
      <c r="F31" s="18">
        <f>IF(OR(D31="",E31=""),"",D31*E31)</f>
        <v/>
      </c>
    </row>
    <row r="32">
      <c r="A32" s="13" t="n"/>
      <c r="B32" s="14" t="n"/>
      <c r="C32" s="14" t="n"/>
      <c r="D32" s="19" t="n"/>
      <c r="E32" s="27" t="n"/>
      <c r="F32" s="18">
        <f>IF(OR(D32="",E32=""),"",D32*E32)</f>
        <v/>
      </c>
    </row>
    <row r="33">
      <c r="A33" s="13" t="n"/>
      <c r="B33" s="14" t="n"/>
      <c r="C33" s="14" t="n"/>
      <c r="D33" s="19" t="n"/>
      <c r="E33" s="27" t="n"/>
      <c r="F33" s="18">
        <f>IF(OR(D33="",E33=""),"",D33*E33)</f>
        <v/>
      </c>
    </row>
    <row r="34">
      <c r="A34" s="13" t="n"/>
      <c r="B34" s="14" t="n"/>
      <c r="C34" s="14" t="n"/>
      <c r="D34" s="19" t="n"/>
      <c r="E34" s="27" t="n"/>
      <c r="F34" s="18">
        <f>IF(OR(D34="",E34=""),"",D34*E34)</f>
        <v/>
      </c>
    </row>
    <row r="35">
      <c r="A35" s="13" t="n"/>
      <c r="B35" s="14" t="n"/>
      <c r="C35" s="14" t="n"/>
      <c r="D35" s="19" t="n"/>
      <c r="E35" s="27" t="n"/>
      <c r="F35" s="18">
        <f>IF(OR(D35="",E35=""),"",D35*E35)</f>
        <v/>
      </c>
    </row>
    <row r="36">
      <c r="A36" s="13" t="n"/>
      <c r="B36" s="14" t="n"/>
      <c r="C36" s="14" t="n"/>
      <c r="D36" s="19" t="n"/>
      <c r="E36" s="27" t="n"/>
      <c r="F36" s="18">
        <f>IF(OR(D36="",E36=""),"",D36*E36)</f>
        <v/>
      </c>
    </row>
    <row r="37">
      <c r="A37" s="13" t="n"/>
      <c r="B37" s="14" t="n"/>
      <c r="C37" s="14" t="n"/>
      <c r="D37" s="19" t="n"/>
      <c r="E37" s="27" t="n"/>
      <c r="F37" s="18">
        <f>IF(OR(D37="",E37=""),"",D37*E37)</f>
        <v/>
      </c>
    </row>
    <row r="38">
      <c r="A38" s="13" t="n"/>
      <c r="B38" s="14" t="n"/>
      <c r="C38" s="14" t="n"/>
      <c r="D38" s="19" t="n"/>
      <c r="E38" s="27" t="n"/>
      <c r="F38" s="18">
        <f>IF(OR(D38="",E38=""),"",D38*E38)</f>
        <v/>
      </c>
    </row>
    <row r="39">
      <c r="A39" s="13" t="n"/>
      <c r="B39" s="14" t="n"/>
      <c r="C39" s="14" t="n"/>
      <c r="D39" s="19" t="n"/>
      <c r="E39" s="27" t="n"/>
      <c r="F39" s="18">
        <f>IF(OR(D39="",E39=""),"",D39*E39)</f>
        <v/>
      </c>
    </row>
    <row r="40">
      <c r="A40" s="13" t="n"/>
      <c r="B40" s="14" t="n"/>
      <c r="C40" s="14" t="n"/>
      <c r="D40" s="19" t="n"/>
      <c r="E40" s="27" t="n"/>
      <c r="F40" s="18">
        <f>IF(OR(D40="",E40=""),"",D40*E40)</f>
        <v/>
      </c>
    </row>
    <row r="41">
      <c r="A41" s="13" t="n"/>
      <c r="B41" s="14" t="n"/>
      <c r="C41" s="14" t="n"/>
      <c r="D41" s="19" t="n"/>
      <c r="E41" s="27" t="n"/>
      <c r="F41" s="18">
        <f>IF(OR(D41="",E41=""),"",D41*E41)</f>
        <v/>
      </c>
    </row>
    <row r="42">
      <c r="A42" s="13" t="n"/>
      <c r="B42" s="14" t="n"/>
      <c r="C42" s="14" t="n"/>
      <c r="D42" s="19" t="n"/>
      <c r="E42" s="27" t="n"/>
      <c r="F42" s="18">
        <f>IF(OR(D42="",E42=""),"",D42*E42)</f>
        <v/>
      </c>
    </row>
    <row r="43">
      <c r="A43" s="13" t="n"/>
      <c r="B43" s="14" t="n"/>
      <c r="C43" s="14" t="n"/>
      <c r="D43" s="19" t="n"/>
      <c r="E43" s="27" t="n"/>
      <c r="F43" s="18">
        <f>IF(OR(D43="",E43=""),"",D43*E43)</f>
        <v/>
      </c>
    </row>
    <row r="44">
      <c r="A44" s="13" t="n"/>
      <c r="B44" s="14" t="n"/>
      <c r="C44" s="14" t="n"/>
      <c r="D44" s="19" t="n"/>
      <c r="E44" s="27" t="n"/>
      <c r="F44" s="18">
        <f>IF(OR(D44="",E44=""),"",D44*E44)</f>
        <v/>
      </c>
    </row>
    <row r="45">
      <c r="A45" s="13" t="n"/>
      <c r="B45" s="14" t="n"/>
      <c r="C45" s="14" t="n"/>
      <c r="D45" s="19" t="n"/>
      <c r="E45" s="27" t="n"/>
      <c r="F45" s="18">
        <f>IF(OR(D45="",E45=""),"",D45*E45)</f>
        <v/>
      </c>
    </row>
    <row r="46">
      <c r="A46" s="13" t="n"/>
      <c r="B46" s="14" t="n"/>
      <c r="C46" s="14" t="n"/>
      <c r="D46" s="19" t="n"/>
      <c r="E46" s="27" t="n"/>
      <c r="F46" s="18">
        <f>IF(OR(D46="",E46=""),"",D46*E46)</f>
        <v/>
      </c>
    </row>
    <row r="47">
      <c r="A47" s="13" t="n"/>
      <c r="B47" s="14" t="n"/>
      <c r="C47" s="14" t="n"/>
      <c r="D47" s="19" t="n"/>
      <c r="E47" s="27" t="n"/>
      <c r="F47" s="18">
        <f>IF(OR(D47="",E47=""),"",D47*E47)</f>
        <v/>
      </c>
    </row>
    <row r="48">
      <c r="A48" s="13" t="n"/>
      <c r="B48" s="14" t="n"/>
      <c r="C48" s="14" t="n"/>
      <c r="D48" s="19" t="n"/>
      <c r="E48" s="27" t="n"/>
      <c r="F48" s="18">
        <f>IF(OR(D48="",E48=""),"",D48*E48)</f>
        <v/>
      </c>
    </row>
    <row r="49">
      <c r="A49" s="13" t="n"/>
      <c r="B49" s="14" t="n"/>
      <c r="C49" s="14" t="n"/>
      <c r="D49" s="19" t="n"/>
      <c r="E49" s="27" t="n"/>
      <c r="F49" s="18">
        <f>IF(OR(D49="",E49=""),"",D49*E49)</f>
        <v/>
      </c>
    </row>
    <row r="50">
      <c r="A50" s="13" t="n"/>
      <c r="B50" s="14" t="n"/>
      <c r="C50" s="14" t="n"/>
      <c r="D50" s="19" t="n"/>
      <c r="E50" s="27" t="n"/>
      <c r="F50" s="18">
        <f>IF(OR(D50="",E50=""),"",D50*E50)</f>
        <v/>
      </c>
    </row>
    <row r="51">
      <c r="A51" s="13" t="n"/>
      <c r="B51" s="14" t="n"/>
      <c r="C51" s="14" t="n"/>
      <c r="D51" s="19" t="n"/>
      <c r="E51" s="27" t="n"/>
      <c r="F51" s="18">
        <f>IF(OR(D51="",E51=""),"",D51*E51)</f>
        <v/>
      </c>
    </row>
    <row r="52">
      <c r="A52" s="13" t="n"/>
      <c r="B52" s="14" t="n"/>
      <c r="C52" s="14" t="n"/>
      <c r="D52" s="19" t="n"/>
      <c r="E52" s="27" t="n"/>
      <c r="F52" s="18">
        <f>IF(OR(D52="",E52=""),"",D52*E52)</f>
        <v/>
      </c>
    </row>
    <row r="53">
      <c r="A53" s="13" t="n"/>
      <c r="B53" s="14" t="n"/>
      <c r="C53" s="14" t="n"/>
      <c r="D53" s="19" t="n"/>
      <c r="E53" s="27" t="n"/>
      <c r="F53" s="18">
        <f>IF(OR(D53="",E53=""),"",D53*E53)</f>
        <v/>
      </c>
    </row>
    <row r="54">
      <c r="A54" s="13" t="n"/>
      <c r="B54" s="14" t="n"/>
      <c r="C54" s="14" t="n"/>
      <c r="D54" s="19" t="n"/>
      <c r="E54" s="27" t="n"/>
      <c r="F54" s="18">
        <f>IF(OR(D54="",E54=""),"",D54*E54)</f>
        <v/>
      </c>
    </row>
    <row r="55">
      <c r="A55" s="13" t="n"/>
      <c r="B55" s="14" t="n"/>
      <c r="C55" s="14" t="n"/>
      <c r="D55" s="19" t="n"/>
      <c r="E55" s="27" t="n"/>
      <c r="F55" s="18">
        <f>IF(OR(D55="",E55=""),"",D55*E55)</f>
        <v/>
      </c>
    </row>
    <row r="56">
      <c r="A56" s="13" t="n"/>
      <c r="B56" s="14" t="n"/>
      <c r="C56" s="14" t="n"/>
      <c r="D56" s="19" t="n"/>
      <c r="E56" s="27" t="n"/>
      <c r="F56" s="18">
        <f>IF(OR(D56="",E56=""),"",D56*E56)</f>
        <v/>
      </c>
    </row>
    <row r="57">
      <c r="A57" s="13" t="n"/>
      <c r="B57" s="14" t="n"/>
      <c r="C57" s="14" t="n"/>
      <c r="D57" s="19" t="n"/>
      <c r="E57" s="27" t="n"/>
      <c r="F57" s="18">
        <f>IF(OR(D57="",E57=""),"",D57*E57)</f>
        <v/>
      </c>
    </row>
    <row r="58">
      <c r="A58" s="13" t="n"/>
      <c r="B58" s="14" t="n"/>
      <c r="C58" s="14" t="n"/>
      <c r="D58" s="19" t="n"/>
      <c r="E58" s="27" t="n"/>
      <c r="F58" s="18">
        <f>IF(OR(D58="",E58=""),"",D58*E58)</f>
        <v/>
      </c>
    </row>
    <row r="59">
      <c r="A59" s="13" t="n"/>
      <c r="B59" s="14" t="n"/>
      <c r="C59" s="14" t="n"/>
      <c r="D59" s="19" t="n"/>
      <c r="E59" s="27" t="n"/>
      <c r="F59" s="18">
        <f>IF(OR(D59="",E59=""),"",D59*E59)</f>
        <v/>
      </c>
    </row>
    <row r="60">
      <c r="A60" s="13" t="n"/>
      <c r="B60" s="14" t="n"/>
      <c r="C60" s="14" t="n"/>
      <c r="D60" s="19" t="n"/>
      <c r="E60" s="27" t="n"/>
      <c r="F60" s="18">
        <f>IF(OR(D60="",E60=""),"",D60*E60)</f>
        <v/>
      </c>
    </row>
    <row r="61">
      <c r="A61" s="13" t="n"/>
      <c r="B61" s="14" t="n"/>
      <c r="C61" s="14" t="n"/>
      <c r="D61" s="19" t="n"/>
      <c r="E61" s="27" t="n"/>
      <c r="F61" s="18">
        <f>IF(OR(D61="",E61=""),"",D61*E61)</f>
        <v/>
      </c>
    </row>
    <row r="62">
      <c r="A62" s="13" t="n"/>
      <c r="B62" s="14" t="n"/>
      <c r="C62" s="14" t="n"/>
      <c r="D62" s="19" t="n"/>
      <c r="E62" s="27" t="n"/>
      <c r="F62" s="18">
        <f>IF(OR(D62="",E62=""),"",D62*E62)</f>
        <v/>
      </c>
    </row>
    <row r="63">
      <c r="A63" s="13" t="n"/>
      <c r="B63" s="14" t="n"/>
      <c r="C63" s="14" t="n"/>
      <c r="D63" s="19" t="n"/>
      <c r="E63" s="27" t="n"/>
      <c r="F63" s="18">
        <f>IF(OR(D63="",E63=""),"",D63*E63)</f>
        <v/>
      </c>
    </row>
    <row r="64">
      <c r="A64" s="13" t="n"/>
      <c r="B64" s="14" t="n"/>
      <c r="C64" s="14" t="n"/>
      <c r="D64" s="19" t="n"/>
      <c r="E64" s="27" t="n"/>
      <c r="F64" s="18">
        <f>IF(OR(D64="",E64=""),"",D64*E64)</f>
        <v/>
      </c>
    </row>
    <row r="65">
      <c r="A65" s="13" t="n"/>
      <c r="B65" s="14" t="n"/>
      <c r="C65" s="14" t="n"/>
      <c r="D65" s="19" t="n"/>
      <c r="E65" s="27" t="n"/>
      <c r="F65" s="18">
        <f>IF(OR(D65="",E65=""),"",D65*E65)</f>
        <v/>
      </c>
    </row>
    <row r="66">
      <c r="A66" s="13" t="n"/>
      <c r="B66" s="14" t="n"/>
      <c r="C66" s="14" t="n"/>
      <c r="D66" s="19" t="n"/>
      <c r="E66" s="27" t="n"/>
      <c r="F66" s="18">
        <f>IF(OR(D66="",E66=""),"",D66*E66)</f>
        <v/>
      </c>
    </row>
    <row r="67">
      <c r="A67" s="13" t="n"/>
      <c r="B67" s="14" t="n"/>
      <c r="C67" s="14" t="n"/>
      <c r="D67" s="19" t="n"/>
      <c r="E67" s="27" t="n"/>
      <c r="F67" s="18">
        <f>IF(OR(D67="",E67=""),"",D67*E67)</f>
        <v/>
      </c>
    </row>
    <row r="68">
      <c r="A68" s="13" t="n"/>
      <c r="B68" s="14" t="n"/>
      <c r="C68" s="14" t="n"/>
      <c r="D68" s="19" t="n"/>
      <c r="E68" s="27" t="n"/>
      <c r="F68" s="18">
        <f>IF(OR(D68="",E68=""),"",D68*E68)</f>
        <v/>
      </c>
    </row>
    <row r="69">
      <c r="A69" s="13" t="n"/>
      <c r="B69" s="14" t="n"/>
      <c r="C69" s="14" t="n"/>
      <c r="D69" s="19" t="n"/>
      <c r="E69" s="27" t="n"/>
      <c r="F69" s="18">
        <f>IF(OR(D69="",E69=""),"",D69*E69)</f>
        <v/>
      </c>
    </row>
    <row r="70">
      <c r="A70" s="13" t="n"/>
      <c r="B70" s="14" t="n"/>
      <c r="C70" s="14" t="n"/>
      <c r="D70" s="19" t="n"/>
      <c r="E70" s="27" t="n"/>
      <c r="F70" s="18">
        <f>IF(OR(D70="",E70=""),"",D70*E70)</f>
        <v/>
      </c>
    </row>
    <row r="71">
      <c r="A71" s="13" t="n"/>
      <c r="B71" s="14" t="n"/>
      <c r="C71" s="14" t="n"/>
      <c r="D71" s="19" t="n"/>
      <c r="E71" s="27" t="n"/>
      <c r="F71" s="18">
        <f>IF(OR(D71="",E71=""),"",D71*E71)</f>
        <v/>
      </c>
    </row>
    <row r="72">
      <c r="A72" s="13" t="n"/>
      <c r="B72" s="14" t="n"/>
      <c r="C72" s="14" t="n"/>
      <c r="D72" s="19" t="n"/>
      <c r="E72" s="27" t="n"/>
      <c r="F72" s="18">
        <f>IF(OR(D72="",E72=""),"",D72*E72)</f>
        <v/>
      </c>
    </row>
    <row r="73">
      <c r="A73" s="13" t="n"/>
      <c r="B73" s="14" t="n"/>
      <c r="C73" s="14" t="n"/>
      <c r="D73" s="19" t="n"/>
      <c r="E73" s="27" t="n"/>
      <c r="F73" s="18">
        <f>IF(OR(D73="",E73=""),"",D73*E73)</f>
        <v/>
      </c>
    </row>
    <row r="74">
      <c r="A74" s="13" t="n"/>
      <c r="B74" s="14" t="n"/>
      <c r="C74" s="14" t="n"/>
      <c r="D74" s="19" t="n"/>
      <c r="E74" s="27" t="n"/>
      <c r="F74" s="18">
        <f>IF(OR(D74="",E74=""),"",D74*E74)</f>
        <v/>
      </c>
    </row>
    <row r="75">
      <c r="A75" s="13" t="n"/>
      <c r="B75" s="14" t="n"/>
      <c r="C75" s="14" t="n"/>
      <c r="D75" s="19" t="n"/>
      <c r="E75" s="27" t="n"/>
      <c r="F75" s="18">
        <f>IF(OR(D75="",E75=""),"",D75*E75)</f>
        <v/>
      </c>
    </row>
    <row r="76">
      <c r="A76" s="13" t="n"/>
      <c r="B76" s="14" t="n"/>
      <c r="C76" s="14" t="n"/>
      <c r="D76" s="19" t="n"/>
      <c r="E76" s="27" t="n"/>
      <c r="F76" s="18">
        <f>IF(OR(D76="",E76=""),"",D76*E76)</f>
        <v/>
      </c>
    </row>
    <row r="77">
      <c r="A77" s="13" t="n"/>
      <c r="B77" s="14" t="n"/>
      <c r="C77" s="14" t="n"/>
      <c r="D77" s="19" t="n"/>
      <c r="E77" s="27" t="n"/>
      <c r="F77" s="18">
        <f>IF(OR(D77="",E77=""),"",D77*E77)</f>
        <v/>
      </c>
    </row>
    <row r="78">
      <c r="A78" s="13" t="n"/>
      <c r="B78" s="14" t="n"/>
      <c r="C78" s="14" t="n"/>
      <c r="D78" s="19" t="n"/>
      <c r="E78" s="27" t="n"/>
      <c r="F78" s="18">
        <f>IF(OR(D78="",E78=""),"",D78*E78)</f>
        <v/>
      </c>
    </row>
    <row r="79">
      <c r="A79" s="13" t="n"/>
      <c r="B79" s="14" t="n"/>
      <c r="C79" s="14" t="n"/>
      <c r="D79" s="19" t="n"/>
      <c r="E79" s="27" t="n"/>
      <c r="F79" s="18">
        <f>IF(OR(D79="",E79=""),"",D79*E79)</f>
        <v/>
      </c>
    </row>
    <row r="80">
      <c r="A80" s="13" t="n"/>
      <c r="B80" s="14" t="n"/>
      <c r="C80" s="14" t="n"/>
      <c r="D80" s="19" t="n"/>
      <c r="E80" s="27" t="n"/>
      <c r="F80" s="18">
        <f>IF(OR(D80="",E80=""),"",D80*E80)</f>
        <v/>
      </c>
    </row>
    <row r="81">
      <c r="A81" s="13" t="n"/>
      <c r="B81" s="14" t="n"/>
      <c r="C81" s="14" t="n"/>
      <c r="D81" s="19" t="n"/>
      <c r="E81" s="27" t="n"/>
      <c r="F81" s="18">
        <f>IF(OR(D81="",E81=""),"",D81*E81)</f>
        <v/>
      </c>
    </row>
    <row r="82">
      <c r="A82" s="13" t="n"/>
      <c r="B82" s="14" t="n"/>
      <c r="C82" s="14" t="n"/>
      <c r="D82" s="19" t="n"/>
      <c r="E82" s="27" t="n"/>
      <c r="F82" s="18">
        <f>IF(OR(D82="",E82=""),"",D82*E82)</f>
        <v/>
      </c>
    </row>
    <row r="83">
      <c r="A83" s="13" t="n"/>
      <c r="B83" s="14" t="n"/>
      <c r="C83" s="14" t="n"/>
      <c r="D83" s="19" t="n"/>
      <c r="E83" s="27" t="n"/>
      <c r="F83" s="18">
        <f>IF(OR(D83="",E83=""),"",D83*E83)</f>
        <v/>
      </c>
    </row>
    <row r="84">
      <c r="A84" s="13" t="n"/>
      <c r="B84" s="14" t="n"/>
      <c r="C84" s="14" t="n"/>
      <c r="D84" s="19" t="n"/>
      <c r="E84" s="27" t="n"/>
      <c r="F84" s="18">
        <f>IF(OR(D84="",E84=""),"",D84*E84)</f>
        <v/>
      </c>
    </row>
    <row r="85">
      <c r="A85" s="13" t="n"/>
      <c r="B85" s="14" t="n"/>
      <c r="C85" s="14" t="n"/>
      <c r="D85" s="19" t="n"/>
      <c r="E85" s="27" t="n"/>
      <c r="F85" s="18">
        <f>IF(OR(D85="",E85=""),"",D85*E85)</f>
        <v/>
      </c>
    </row>
    <row r="86">
      <c r="A86" s="13" t="n"/>
      <c r="B86" s="14" t="n"/>
      <c r="C86" s="14" t="n"/>
      <c r="D86" s="19" t="n"/>
      <c r="E86" s="27" t="n"/>
      <c r="F86" s="18">
        <f>IF(OR(D86="",E86=""),"",D86*E86)</f>
        <v/>
      </c>
    </row>
    <row r="87">
      <c r="A87" s="13" t="n"/>
      <c r="B87" s="14" t="n"/>
      <c r="C87" s="14" t="n"/>
      <c r="D87" s="19" t="n"/>
      <c r="E87" s="27" t="n"/>
      <c r="F87" s="18">
        <f>IF(OR(D87="",E87=""),"",D87*E87)</f>
        <v/>
      </c>
    </row>
    <row r="88">
      <c r="A88" s="13" t="n"/>
      <c r="B88" s="14" t="n"/>
      <c r="C88" s="14" t="n"/>
      <c r="D88" s="19" t="n"/>
      <c r="E88" s="27" t="n"/>
      <c r="F88" s="18">
        <f>IF(OR(D88="",E88=""),"",D88*E88)</f>
        <v/>
      </c>
    </row>
    <row r="89">
      <c r="A89" s="13" t="n"/>
      <c r="B89" s="14" t="n"/>
      <c r="C89" s="14" t="n"/>
      <c r="D89" s="19" t="n"/>
      <c r="E89" s="27" t="n"/>
      <c r="F89" s="18">
        <f>IF(OR(D89="",E89=""),"",D89*E89)</f>
        <v/>
      </c>
    </row>
    <row r="90">
      <c r="A90" s="13" t="n"/>
      <c r="B90" s="14" t="n"/>
      <c r="C90" s="14" t="n"/>
      <c r="D90" s="19" t="n"/>
      <c r="E90" s="27" t="n"/>
      <c r="F90" s="18">
        <f>IF(OR(D90="",E90=""),"",D90*E90)</f>
        <v/>
      </c>
    </row>
    <row r="91">
      <c r="A91" s="13" t="n"/>
      <c r="B91" s="14" t="n"/>
      <c r="C91" s="14" t="n"/>
      <c r="D91" s="19" t="n"/>
      <c r="E91" s="27" t="n"/>
      <c r="F91" s="18">
        <f>IF(OR(D91="",E91=""),"",D91*E91)</f>
        <v/>
      </c>
    </row>
    <row r="92">
      <c r="A92" s="13" t="n"/>
      <c r="B92" s="14" t="n"/>
      <c r="C92" s="14" t="n"/>
      <c r="D92" s="19" t="n"/>
      <c r="E92" s="27" t="n"/>
      <c r="F92" s="18">
        <f>IF(OR(D92="",E92=""),"",D92*E92)</f>
        <v/>
      </c>
    </row>
    <row r="93">
      <c r="A93" s="13" t="n"/>
      <c r="B93" s="14" t="n"/>
      <c r="C93" s="14" t="n"/>
      <c r="D93" s="19" t="n"/>
      <c r="E93" s="27" t="n"/>
      <c r="F93" s="18">
        <f>IF(OR(D93="",E93=""),"",D93*E93)</f>
        <v/>
      </c>
    </row>
    <row r="94">
      <c r="A94" s="13" t="n"/>
      <c r="B94" s="14" t="n"/>
      <c r="C94" s="14" t="n"/>
      <c r="D94" s="19" t="n"/>
      <c r="E94" s="27" t="n"/>
      <c r="F94" s="18">
        <f>IF(OR(D94="",E94=""),"",D94*E94)</f>
        <v/>
      </c>
    </row>
    <row r="95">
      <c r="A95" s="13" t="n"/>
      <c r="B95" s="14" t="n"/>
      <c r="C95" s="14" t="n"/>
      <c r="D95" s="19" t="n"/>
      <c r="E95" s="27" t="n"/>
      <c r="F95" s="18">
        <f>IF(OR(D95="",E95=""),"",D95*E95)</f>
        <v/>
      </c>
    </row>
    <row r="96">
      <c r="A96" s="13" t="n"/>
      <c r="B96" s="14" t="n"/>
      <c r="C96" s="14" t="n"/>
      <c r="D96" s="19" t="n"/>
      <c r="E96" s="27" t="n"/>
      <c r="F96" s="18">
        <f>IF(OR(D96="",E96=""),"",D96*E96)</f>
        <v/>
      </c>
    </row>
    <row r="97">
      <c r="A97" s="13" t="n"/>
      <c r="B97" s="14" t="n"/>
      <c r="C97" s="14" t="n"/>
      <c r="D97" s="19" t="n"/>
      <c r="E97" s="27" t="n"/>
      <c r="F97" s="18">
        <f>IF(OR(D97="",E97=""),"",D97*E97)</f>
        <v/>
      </c>
    </row>
    <row r="98">
      <c r="A98" s="13" t="n"/>
      <c r="B98" s="14" t="n"/>
      <c r="C98" s="14" t="n"/>
      <c r="D98" s="19" t="n"/>
      <c r="E98" s="27" t="n"/>
      <c r="F98" s="18">
        <f>IF(OR(D98="",E98=""),"",D98*E98)</f>
        <v/>
      </c>
    </row>
    <row r="99">
      <c r="A99" s="13" t="n"/>
      <c r="B99" s="14" t="n"/>
      <c r="C99" s="14" t="n"/>
      <c r="D99" s="19" t="n"/>
      <c r="E99" s="27" t="n"/>
      <c r="F99" s="18">
        <f>IF(OR(D99="",E99=""),"",D99*E99)</f>
        <v/>
      </c>
    </row>
    <row r="100">
      <c r="A100" s="13" t="n"/>
      <c r="B100" s="14" t="n"/>
      <c r="C100" s="14" t="n"/>
      <c r="D100" s="19" t="n"/>
      <c r="E100" s="27" t="n"/>
      <c r="F100" s="18">
        <f>IF(OR(D100="",E100=""),"",D100*E100)</f>
        <v/>
      </c>
    </row>
    <row r="101">
      <c r="A101" s="13" t="n"/>
      <c r="B101" s="14" t="n"/>
      <c r="C101" s="14" t="n"/>
      <c r="D101" s="19" t="n"/>
      <c r="E101" s="27" t="n"/>
      <c r="F101" s="18">
        <f>IF(OR(D101="",E101=""),"",D101*E101)</f>
        <v/>
      </c>
    </row>
    <row r="102">
      <c r="A102" s="13" t="n"/>
      <c r="B102" s="14" t="n"/>
      <c r="C102" s="14" t="n"/>
      <c r="D102" s="19" t="n"/>
      <c r="E102" s="27" t="n"/>
      <c r="F102" s="18">
        <f>IF(OR(D102="",E102=""),"",D102*E102)</f>
        <v/>
      </c>
    </row>
    <row r="103">
      <c r="A103" s="13" t="n"/>
      <c r="B103" s="14" t="n"/>
      <c r="C103" s="14" t="n"/>
      <c r="D103" s="19" t="n"/>
      <c r="E103" s="27" t="n"/>
      <c r="F103" s="18">
        <f>IF(OR(D103="",E103=""),"",D103*E103)</f>
        <v/>
      </c>
    </row>
    <row r="104">
      <c r="A104" s="13" t="n"/>
      <c r="B104" s="14" t="n"/>
      <c r="C104" s="14" t="n"/>
      <c r="D104" s="19" t="n"/>
      <c r="E104" s="27" t="n"/>
      <c r="F104" s="18">
        <f>IF(OR(D104="",E104=""),"",D104*E104)</f>
        <v/>
      </c>
    </row>
    <row r="105">
      <c r="A105" s="13" t="n"/>
      <c r="B105" s="14" t="n"/>
      <c r="C105" s="14" t="n"/>
      <c r="D105" s="19" t="n"/>
      <c r="E105" s="27" t="n"/>
      <c r="F105" s="18">
        <f>IF(OR(D105="",E105=""),"",D105*E105)</f>
        <v/>
      </c>
    </row>
    <row r="106">
      <c r="A106" s="13" t="n"/>
      <c r="B106" s="14" t="n"/>
      <c r="C106" s="14" t="n"/>
      <c r="D106" s="19" t="n"/>
      <c r="E106" s="27" t="n"/>
      <c r="F106" s="18">
        <f>IF(OR(D106="",E106=""),"",D106*E106)</f>
        <v/>
      </c>
    </row>
    <row r="107">
      <c r="A107" s="13" t="n"/>
      <c r="B107" s="14" t="n"/>
      <c r="C107" s="14" t="n"/>
      <c r="D107" s="19" t="n"/>
      <c r="E107" s="27" t="n"/>
      <c r="F107" s="18">
        <f>IF(OR(D107="",E107=""),"",D107*E107)</f>
        <v/>
      </c>
    </row>
    <row r="108">
      <c r="A108" s="13" t="n"/>
      <c r="B108" s="14" t="n"/>
      <c r="C108" s="14" t="n"/>
      <c r="D108" s="19" t="n"/>
      <c r="E108" s="27" t="n"/>
      <c r="F108" s="18">
        <f>IF(OR(D108="",E108=""),"",D108*E108)</f>
        <v/>
      </c>
    </row>
    <row r="109">
      <c r="A109" s="13" t="n"/>
      <c r="B109" s="14" t="n"/>
      <c r="C109" s="14" t="n"/>
      <c r="D109" s="19" t="n"/>
      <c r="E109" s="27" t="n"/>
      <c r="F109" s="18">
        <f>IF(OR(D109="",E109=""),"",D109*E109)</f>
        <v/>
      </c>
    </row>
    <row r="110">
      <c r="A110" s="13" t="n"/>
      <c r="B110" s="14" t="n"/>
      <c r="C110" s="14" t="n"/>
      <c r="D110" s="19" t="n"/>
      <c r="E110" s="27" t="n"/>
      <c r="F110" s="18">
        <f>IF(OR(D110="",E110=""),"",D110*E110)</f>
        <v/>
      </c>
    </row>
    <row r="111">
      <c r="A111" s="13" t="n"/>
      <c r="B111" s="14" t="n"/>
      <c r="C111" s="14" t="n"/>
      <c r="D111" s="19" t="n"/>
      <c r="E111" s="27" t="n"/>
      <c r="F111" s="18">
        <f>IF(OR(D111="",E111=""),"",D111*E111)</f>
        <v/>
      </c>
    </row>
    <row r="112">
      <c r="A112" s="13" t="n"/>
      <c r="B112" s="14" t="n"/>
      <c r="C112" s="14" t="n"/>
      <c r="D112" s="19" t="n"/>
      <c r="E112" s="27" t="n"/>
      <c r="F112" s="18">
        <f>IF(OR(D112="",E112=""),"",D112*E112)</f>
        <v/>
      </c>
    </row>
    <row r="113">
      <c r="A113" s="13" t="n"/>
      <c r="B113" s="14" t="n"/>
      <c r="C113" s="14" t="n"/>
      <c r="D113" s="19" t="n"/>
      <c r="E113" s="27" t="n"/>
      <c r="F113" s="18">
        <f>IF(OR(D113="",E113=""),"",D113*E113)</f>
        <v/>
      </c>
    </row>
    <row r="114">
      <c r="A114" s="13" t="n"/>
      <c r="B114" s="14" t="n"/>
      <c r="C114" s="14" t="n"/>
      <c r="D114" s="19" t="n"/>
      <c r="E114" s="27" t="n"/>
      <c r="F114" s="18">
        <f>IF(OR(D114="",E114=""),"",D114*E114)</f>
        <v/>
      </c>
    </row>
    <row r="115">
      <c r="A115" s="13" t="n"/>
      <c r="B115" s="14" t="n"/>
      <c r="C115" s="14" t="n"/>
      <c r="D115" s="19" t="n"/>
      <c r="E115" s="27" t="n"/>
      <c r="F115" s="18">
        <f>IF(OR(D115="",E115=""),"",D115*E115)</f>
        <v/>
      </c>
    </row>
    <row r="116">
      <c r="A116" s="13" t="n"/>
      <c r="B116" s="14" t="n"/>
      <c r="C116" s="14" t="n"/>
      <c r="D116" s="19" t="n"/>
      <c r="E116" s="27" t="n"/>
      <c r="F116" s="18">
        <f>IF(OR(D116="",E116=""),"",D116*E116)</f>
        <v/>
      </c>
    </row>
    <row r="117">
      <c r="A117" s="13" t="n"/>
      <c r="B117" s="14" t="n"/>
      <c r="C117" s="14" t="n"/>
      <c r="D117" s="19" t="n"/>
      <c r="E117" s="27" t="n"/>
      <c r="F117" s="18">
        <f>IF(OR(D117="",E117=""),"",D117*E117)</f>
        <v/>
      </c>
    </row>
    <row r="118">
      <c r="A118" s="13" t="n"/>
      <c r="B118" s="14" t="n"/>
      <c r="C118" s="14" t="n"/>
      <c r="D118" s="19" t="n"/>
      <c r="E118" s="27" t="n"/>
      <c r="F118" s="18">
        <f>IF(OR(D118="",E118=""),"",D118*E118)</f>
        <v/>
      </c>
    </row>
    <row r="119">
      <c r="A119" s="13" t="n"/>
      <c r="B119" s="14" t="n"/>
      <c r="C119" s="14" t="n"/>
      <c r="D119" s="19" t="n"/>
      <c r="E119" s="27" t="n"/>
      <c r="F119" s="18">
        <f>IF(OR(D119="",E119=""),"",D119*E119)</f>
        <v/>
      </c>
    </row>
    <row r="120">
      <c r="A120" s="13" t="n"/>
      <c r="B120" s="14" t="n"/>
      <c r="C120" s="14" t="n"/>
      <c r="D120" s="19" t="n"/>
      <c r="E120" s="27" t="n"/>
      <c r="F120" s="18">
        <f>IF(OR(D120="",E120=""),"",D120*E120)</f>
        <v/>
      </c>
    </row>
    <row r="121">
      <c r="A121" s="13" t="n"/>
      <c r="B121" s="14" t="n"/>
      <c r="C121" s="14" t="n"/>
      <c r="D121" s="19" t="n"/>
      <c r="E121" s="27" t="n"/>
      <c r="F121" s="18">
        <f>IF(OR(D121="",E121=""),"",D121*E121)</f>
        <v/>
      </c>
    </row>
    <row r="122">
      <c r="A122" s="13" t="n"/>
      <c r="B122" s="14" t="n"/>
      <c r="C122" s="14" t="n"/>
      <c r="D122" s="19" t="n"/>
      <c r="E122" s="27" t="n"/>
      <c r="F122" s="18">
        <f>IF(OR(D122="",E122=""),"",D122*E122)</f>
        <v/>
      </c>
    </row>
    <row r="123">
      <c r="A123" s="13" t="n"/>
      <c r="B123" s="14" t="n"/>
      <c r="C123" s="14" t="n"/>
      <c r="D123" s="19" t="n"/>
      <c r="E123" s="27" t="n"/>
      <c r="F123" s="18">
        <f>IF(OR(D123="",E123=""),"",D123*E123)</f>
        <v/>
      </c>
    </row>
    <row r="124">
      <c r="A124" s="13" t="n"/>
      <c r="B124" s="14" t="n"/>
      <c r="C124" s="14" t="n"/>
      <c r="D124" s="19" t="n"/>
      <c r="E124" s="27" t="n"/>
      <c r="F124" s="18">
        <f>IF(OR(D124="",E124=""),"",D124*E124)</f>
        <v/>
      </c>
    </row>
    <row r="125">
      <c r="A125" s="13" t="n"/>
      <c r="B125" s="14" t="n"/>
      <c r="C125" s="14" t="n"/>
      <c r="D125" s="19" t="n"/>
      <c r="E125" s="27" t="n"/>
      <c r="F125" s="18">
        <f>IF(OR(D125="",E125=""),"",D125*E125)</f>
        <v/>
      </c>
    </row>
    <row r="126">
      <c r="A126" s="13" t="n"/>
      <c r="B126" s="14" t="n"/>
      <c r="C126" s="14" t="n"/>
      <c r="D126" s="19" t="n"/>
      <c r="E126" s="27" t="n"/>
      <c r="F126" s="18">
        <f>IF(OR(D126="",E126=""),"",D126*E126)</f>
        <v/>
      </c>
    </row>
    <row r="127">
      <c r="A127" s="13" t="n"/>
      <c r="B127" s="14" t="n"/>
      <c r="C127" s="14" t="n"/>
      <c r="D127" s="19" t="n"/>
      <c r="E127" s="27" t="n"/>
      <c r="F127" s="18">
        <f>IF(OR(D127="",E127=""),"",D127*E127)</f>
        <v/>
      </c>
    </row>
    <row r="128">
      <c r="A128" s="13" t="n"/>
      <c r="B128" s="14" t="n"/>
      <c r="C128" s="14" t="n"/>
      <c r="D128" s="19" t="n"/>
      <c r="E128" s="27" t="n"/>
      <c r="F128" s="18">
        <f>IF(OR(D128="",E128=""),"",D128*E128)</f>
        <v/>
      </c>
    </row>
    <row r="129">
      <c r="A129" s="13" t="n"/>
      <c r="B129" s="14" t="n"/>
      <c r="C129" s="14" t="n"/>
      <c r="D129" s="19" t="n"/>
      <c r="E129" s="27" t="n"/>
      <c r="F129" s="18">
        <f>IF(OR(D129="",E129=""),"",D129*E129)</f>
        <v/>
      </c>
    </row>
    <row r="130">
      <c r="A130" s="13" t="n"/>
      <c r="B130" s="14" t="n"/>
      <c r="C130" s="14" t="n"/>
      <c r="D130" s="19" t="n"/>
      <c r="E130" s="27" t="n"/>
      <c r="F130" s="18">
        <f>IF(OR(D130="",E130=""),"",D130*E130)</f>
        <v/>
      </c>
    </row>
    <row r="131">
      <c r="A131" s="13" t="n"/>
      <c r="B131" s="14" t="n"/>
      <c r="C131" s="14" t="n"/>
      <c r="D131" s="19" t="n"/>
      <c r="E131" s="27" t="n"/>
      <c r="F131" s="18">
        <f>IF(OR(D131="",E131=""),"",D131*E131)</f>
        <v/>
      </c>
    </row>
    <row r="132">
      <c r="A132" s="13" t="n"/>
      <c r="B132" s="14" t="n"/>
      <c r="C132" s="14" t="n"/>
      <c r="D132" s="19" t="n"/>
      <c r="E132" s="27" t="n"/>
      <c r="F132" s="18">
        <f>IF(OR(D132="",E132=""),"",D132*E132)</f>
        <v/>
      </c>
    </row>
    <row r="133">
      <c r="A133" s="13" t="n"/>
      <c r="B133" s="14" t="n"/>
      <c r="C133" s="14" t="n"/>
      <c r="D133" s="19" t="n"/>
      <c r="E133" s="27" t="n"/>
      <c r="F133" s="18">
        <f>IF(OR(D133="",E133=""),"",D133*E133)</f>
        <v/>
      </c>
    </row>
    <row r="134">
      <c r="A134" s="13" t="n"/>
      <c r="B134" s="14" t="n"/>
      <c r="C134" s="14" t="n"/>
      <c r="D134" s="19" t="n"/>
      <c r="E134" s="27" t="n"/>
      <c r="F134" s="18">
        <f>IF(OR(D134="",E134=""),"",D134*E134)</f>
        <v/>
      </c>
    </row>
    <row r="135">
      <c r="A135" s="13" t="n"/>
      <c r="B135" s="14" t="n"/>
      <c r="C135" s="14" t="n"/>
      <c r="D135" s="19" t="n"/>
      <c r="E135" s="27" t="n"/>
      <c r="F135" s="18">
        <f>IF(OR(D135="",E135=""),"",D135*E135)</f>
        <v/>
      </c>
    </row>
    <row r="136">
      <c r="A136" s="13" t="n"/>
      <c r="B136" s="14" t="n"/>
      <c r="C136" s="14" t="n"/>
      <c r="D136" s="19" t="n"/>
      <c r="E136" s="27" t="n"/>
      <c r="F136" s="18">
        <f>IF(OR(D136="",E136=""),"",D136*E136)</f>
        <v/>
      </c>
    </row>
    <row r="137">
      <c r="A137" s="13" t="n"/>
      <c r="B137" s="14" t="n"/>
      <c r="C137" s="14" t="n"/>
      <c r="D137" s="19" t="n"/>
      <c r="E137" s="27" t="n"/>
      <c r="F137" s="18">
        <f>IF(OR(D137="",E137=""),"",D137*E137)</f>
        <v/>
      </c>
    </row>
    <row r="138">
      <c r="A138" s="13" t="n"/>
      <c r="B138" s="14" t="n"/>
      <c r="C138" s="14" t="n"/>
      <c r="D138" s="19" t="n"/>
      <c r="E138" s="27" t="n"/>
      <c r="F138" s="18">
        <f>IF(OR(D138="",E138=""),"",D138*E138)</f>
        <v/>
      </c>
    </row>
    <row r="139">
      <c r="A139" s="13" t="n"/>
      <c r="B139" s="14" t="n"/>
      <c r="C139" s="14" t="n"/>
      <c r="D139" s="19" t="n"/>
      <c r="E139" s="27" t="n"/>
      <c r="F139" s="18">
        <f>IF(OR(D139="",E139=""),"",D139*E139)</f>
        <v/>
      </c>
    </row>
    <row r="140">
      <c r="A140" s="13" t="n"/>
      <c r="B140" s="14" t="n"/>
      <c r="C140" s="14" t="n"/>
      <c r="D140" s="19" t="n"/>
      <c r="E140" s="27" t="n"/>
      <c r="F140" s="18">
        <f>IF(OR(D140="",E140=""),"",D140*E140)</f>
        <v/>
      </c>
    </row>
    <row r="141">
      <c r="A141" s="13" t="n"/>
      <c r="B141" s="14" t="n"/>
      <c r="C141" s="14" t="n"/>
      <c r="D141" s="19" t="n"/>
      <c r="E141" s="27" t="n"/>
      <c r="F141" s="18">
        <f>IF(OR(D141="",E141=""),"",D141*E141)</f>
        <v/>
      </c>
    </row>
    <row r="142">
      <c r="A142" s="13" t="n"/>
      <c r="B142" s="14" t="n"/>
      <c r="C142" s="14" t="n"/>
      <c r="D142" s="19" t="n"/>
      <c r="E142" s="27" t="n"/>
      <c r="F142" s="18">
        <f>IF(OR(D142="",E142=""),"",D142*E142)</f>
        <v/>
      </c>
    </row>
    <row r="143">
      <c r="A143" s="13" t="n"/>
      <c r="B143" s="14" t="n"/>
      <c r="C143" s="14" t="n"/>
      <c r="D143" s="19" t="n"/>
      <c r="E143" s="27" t="n"/>
      <c r="F143" s="18">
        <f>IF(OR(D143="",E143=""),"",D143*E143)</f>
        <v/>
      </c>
    </row>
    <row r="144">
      <c r="A144" s="13" t="n"/>
      <c r="B144" s="14" t="n"/>
      <c r="C144" s="14" t="n"/>
      <c r="D144" s="19" t="n"/>
      <c r="E144" s="27" t="n"/>
      <c r="F144" s="18">
        <f>IF(OR(D144="",E144=""),"",D144*E144)</f>
        <v/>
      </c>
    </row>
    <row r="145">
      <c r="A145" s="13" t="n"/>
      <c r="B145" s="14" t="n"/>
      <c r="C145" s="14" t="n"/>
      <c r="D145" s="19" t="n"/>
      <c r="E145" s="27" t="n"/>
      <c r="F145" s="18">
        <f>IF(OR(D145="",E145=""),"",D145*E145)</f>
        <v/>
      </c>
    </row>
    <row r="146">
      <c r="A146" s="13" t="n"/>
      <c r="B146" s="14" t="n"/>
      <c r="C146" s="14" t="n"/>
      <c r="D146" s="19" t="n"/>
      <c r="E146" s="27" t="n"/>
      <c r="F146" s="18">
        <f>IF(OR(D146="",E146=""),"",D146*E146)</f>
        <v/>
      </c>
    </row>
    <row r="147">
      <c r="A147" s="13" t="n"/>
      <c r="B147" s="14" t="n"/>
      <c r="C147" s="14" t="n"/>
      <c r="D147" s="19" t="n"/>
      <c r="E147" s="27" t="n"/>
      <c r="F147" s="18">
        <f>IF(OR(D147="",E147=""),"",D147*E147)</f>
        <v/>
      </c>
    </row>
    <row r="148">
      <c r="A148" s="13" t="n"/>
      <c r="B148" s="14" t="n"/>
      <c r="C148" s="14" t="n"/>
      <c r="D148" s="19" t="n"/>
      <c r="E148" s="27" t="n"/>
      <c r="F148" s="18">
        <f>IF(OR(D148="",E148=""),"",D148*E148)</f>
        <v/>
      </c>
    </row>
    <row r="149">
      <c r="A149" s="13" t="n"/>
      <c r="B149" s="14" t="n"/>
      <c r="C149" s="14" t="n"/>
      <c r="D149" s="19" t="n"/>
      <c r="E149" s="27" t="n"/>
      <c r="F149" s="18">
        <f>IF(OR(D149="",E149=""),"",D149*E149)</f>
        <v/>
      </c>
    </row>
    <row r="150">
      <c r="A150" s="13" t="n"/>
      <c r="B150" s="14" t="n"/>
      <c r="C150" s="14" t="n"/>
      <c r="D150" s="19" t="n"/>
      <c r="E150" s="27" t="n"/>
      <c r="F150" s="18">
        <f>IF(OR(D150="",E150=""),"",D150*E150)</f>
        <v/>
      </c>
    </row>
    <row r="151">
      <c r="A151" s="13" t="n"/>
      <c r="B151" s="14" t="n"/>
      <c r="C151" s="14" t="n"/>
      <c r="D151" s="19" t="n"/>
      <c r="E151" s="27" t="n"/>
      <c r="F151" s="18">
        <f>IF(OR(D151="",E151=""),"",D151*E151)</f>
        <v/>
      </c>
    </row>
    <row r="152">
      <c r="A152" s="13" t="n"/>
      <c r="B152" s="14" t="n"/>
      <c r="C152" s="14" t="n"/>
      <c r="D152" s="19" t="n"/>
      <c r="E152" s="27" t="n"/>
      <c r="F152" s="18">
        <f>IF(OR(D152="",E152=""),"",D152*E152)</f>
        <v/>
      </c>
    </row>
    <row r="153">
      <c r="A153" s="13" t="n"/>
      <c r="B153" s="14" t="n"/>
      <c r="C153" s="14" t="n"/>
      <c r="D153" s="19" t="n"/>
      <c r="E153" s="27" t="n"/>
      <c r="F153" s="18">
        <f>IF(OR(D153="",E153=""),"",D153*E153)</f>
        <v/>
      </c>
    </row>
    <row r="154">
      <c r="A154" s="13" t="n"/>
      <c r="B154" s="14" t="n"/>
      <c r="C154" s="14" t="n"/>
      <c r="D154" s="19" t="n"/>
      <c r="E154" s="27" t="n"/>
      <c r="F154" s="18">
        <f>IF(OR(D154="",E154=""),"",D154*E154)</f>
        <v/>
      </c>
    </row>
    <row r="156">
      <c r="A156" s="10" t="inlineStr">
        <is>
          <t>Total deductible</t>
        </is>
      </c>
      <c r="F156" s="12">
        <f>SUM(F5:F154)</f>
        <v/>
      </c>
    </row>
  </sheetData>
  <autoFilter ref="A4:F154"/>
  <mergeCells count="2">
    <mergeCell ref="A2:F2"/>
    <mergeCell ref="A1:F1"/>
  </mergeCells>
  <dataValidations count="2">
    <dataValidation sqref="B5:B154" showDropDown="0" showInputMessage="0" showErrorMessage="0" allowBlank="1" errorTitle="Category" error="Pick a category" type="list">
      <formula1>"Supplies,Phone,Parking,Tolls,Car loan interest,Insurance,Repairs,Other"</formula1>
    </dataValidation>
    <dataValidation sqref="E5:E154" showDropDown="0" showInputMessage="0" showErrorMessage="0" allowBlank="1" error="Enter a decimal from 0 to 1" type="decimal" operator="between">
      <formula1>0</formula1>
      <formula2>1</formula2>
    </dataValidation>
  </dataValidations>
  <printOptions horizontalCentered="1"/>
  <pageMargins left="0.5" right="0.5" top="0.75" bottom="0.75" header="0.5" footer="0.5"/>
  <pageSetup orientation="landscape" paperSize="3" fitToHeight="0" fitToWidth="1"/>
  <headerFooter>
    <oddHeader>&amp;LGigMath Pro Kit — Expenses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4A46B"/>
    <outlinePr summaryBelow="1" summaryRight="1"/>
    <pageSetUpPr fitToPage="1"/>
  </sheetPr>
  <dimension ref="A1:C32"/>
  <sheetViews>
    <sheetView showGridLines="0" view="normal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8" customWidth="1" min="1" max="1"/>
    <col width="28" customWidth="1" min="2" max="2"/>
    <col width="42" customWidth="1" min="3" max="3"/>
  </cols>
  <sheetData>
    <row r="1">
      <c r="A1" s="1" t="inlineStr">
        <is>
          <t>Quarterly tax estimator</t>
        </is>
      </c>
    </row>
    <row r="2" ht="36" customHeight="1">
      <c r="A2" s="2" t="inlineStr">
        <is>
          <t>Pick a car method. Standard subtracts the mileage-log deduction and does not subtract weekly fuel. Actual subtracts weekly fuel and does not subtract the mileage rate. Expense Tracker is subtracted either way, so do not duplicate a cost. This is a federal estimate, not a filed Form 1040-ES.</t>
        </is>
      </c>
    </row>
    <row r="4">
      <c r="A4" t="inlineStr">
        <is>
          <t>Car method (type standard or actual)</t>
        </is>
      </c>
      <c r="B4" s="28" t="inlineStr">
        <is>
          <t>standard</t>
        </is>
      </c>
    </row>
    <row r="5">
      <c r="A5" t="inlineStr">
        <is>
          <t>W-2 Social Security wages (Form W-2, boxes 3 and 7)</t>
        </is>
      </c>
      <c r="B5" s="19" t="n">
        <v>0</v>
      </c>
    </row>
    <row r="7">
      <c r="A7" s="4" t="inlineStr">
        <is>
          <t>Gross pay + tips</t>
        </is>
      </c>
      <c r="B7" s="18">
        <f>'Weekly Earnings'!C110+'Weekly Earnings'!D110</f>
        <v/>
      </c>
    </row>
    <row r="8">
      <c r="A8" s="4" t="inlineStr">
        <is>
          <t>Fees</t>
        </is>
      </c>
      <c r="B8" s="18">
        <f>'Weekly Earnings'!E110</f>
        <v/>
      </c>
    </row>
    <row r="9">
      <c r="A9" s="4" t="inlineStr">
        <is>
          <t>Mileage deduction (standard method)</t>
        </is>
      </c>
      <c r="B9" s="18">
        <f>'Mileage Log'!L4</f>
        <v/>
      </c>
      <c r="C9" s="29" t="inlineStr">
        <is>
          <t>From the Mileage Log total. Weekly miles are only an estimate until you log the trips.</t>
        </is>
      </c>
    </row>
    <row r="10">
      <c r="A10" s="4" t="inlineStr">
        <is>
          <t>Fuel typed on Weekly Earnings (actual method)</t>
        </is>
      </c>
      <c r="B10" s="18">
        <f>'Weekly Earnings'!H110</f>
        <v/>
      </c>
    </row>
    <row r="11">
      <c r="A11" s="4" t="inlineStr">
        <is>
          <t>Other deductible expenses</t>
        </is>
      </c>
      <c r="B11" s="18">
        <f>ExpenseTrackerTotal</f>
        <v/>
      </c>
    </row>
    <row r="12">
      <c r="A12" s="4" t="inlineStr">
        <is>
          <t>Net profit used for this estimate</t>
        </is>
      </c>
      <c r="B12" s="30">
        <f>IF(B4="actual",B7-B8-B10-B11,B7-B8-B9-B11)</f>
        <v/>
      </c>
    </row>
    <row r="14">
      <c r="A14" s="4" t="inlineStr">
        <is>
          <t>Net earnings (profit × 92.35%)</t>
        </is>
      </c>
      <c r="B14" s="18">
        <f>B12*0.9235</f>
        <v/>
      </c>
    </row>
    <row r="15">
      <c r="A15" s="4" t="inlineStr">
        <is>
          <t>Self-employment tax applies</t>
        </is>
      </c>
      <c r="B15" s="31">
        <f>IF(B14&lt;400,"No — under $400","Yes")</f>
        <v/>
      </c>
    </row>
    <row r="16">
      <c r="A16" s="4" t="inlineStr">
        <is>
          <t>Social Security room left under the wage base</t>
        </is>
      </c>
      <c r="B16" s="18">
        <f>MAX(0,Settings!B7-B5)</f>
        <v/>
      </c>
    </row>
    <row r="17">
      <c r="A17" s="4" t="inlineStr">
        <is>
          <t>Social Security portion (12.4%)</t>
        </is>
      </c>
      <c r="B17" s="18">
        <f>IF(B14&lt;400,0,MIN(B14,B16)*0.124)</f>
        <v/>
      </c>
    </row>
    <row r="18">
      <c r="A18" s="4" t="inlineStr">
        <is>
          <t>Medicare portion (2.9%)</t>
        </is>
      </c>
      <c r="B18" s="18">
        <f>IF(B14&lt;400,0,B14*0.029)</f>
        <v/>
      </c>
    </row>
    <row r="19">
      <c r="A19" s="4" t="inlineStr">
        <is>
          <t>Self-employment tax</t>
        </is>
      </c>
      <c r="B19" s="30">
        <f>B17+B18</f>
        <v/>
      </c>
    </row>
    <row r="20">
      <c r="A20" s="4" t="inlineStr">
        <is>
          <t>Deduction for half of self-employment tax</t>
        </is>
      </c>
      <c r="B20" s="18">
        <f>B19*0.5</f>
        <v/>
      </c>
    </row>
    <row r="21">
      <c r="A21" s="4" t="inlineStr">
        <is>
          <t>Income-tax set-aside at your Settings rate</t>
        </is>
      </c>
      <c r="B21" s="18">
        <f>IF(Settings!B6="",0,MAX(0,B12-B20)*Settings!B6)</f>
        <v/>
      </c>
    </row>
    <row r="22">
      <c r="A22" s="4" t="inlineStr">
        <is>
          <t>Federal set-aside estimate</t>
        </is>
      </c>
      <c r="B22" s="30">
        <f>B19+B21</f>
        <v/>
      </c>
    </row>
    <row r="23">
      <c r="A23" s="4" t="inlineStr">
        <is>
          <t>Equal amount for each of 4 due dates</t>
        </is>
      </c>
      <c r="B23" s="30">
        <f>B22/4</f>
        <v/>
      </c>
    </row>
    <row r="25">
      <c r="A25" s="32" t="inlineStr">
        <is>
          <t>Form 1040-ES due dates for calendar year 2026</t>
        </is>
      </c>
    </row>
    <row r="26">
      <c r="A26" s="3" t="inlineStr">
        <is>
          <t>Payment</t>
        </is>
      </c>
      <c r="B26" s="3" t="inlineStr">
        <is>
          <t>Due date</t>
        </is>
      </c>
      <c r="C26" s="3" t="inlineStr">
        <is>
          <t>Equal estimate</t>
        </is>
      </c>
    </row>
    <row r="27">
      <c r="A27" s="31" t="inlineStr">
        <is>
          <t>1</t>
        </is>
      </c>
      <c r="B27" s="31" t="inlineStr">
        <is>
          <t>2026-04-15</t>
        </is>
      </c>
      <c r="C27" s="18">
        <f>$B$23</f>
        <v/>
      </c>
    </row>
    <row r="28">
      <c r="A28" s="31" t="inlineStr">
        <is>
          <t>2</t>
        </is>
      </c>
      <c r="B28" s="31" t="inlineStr">
        <is>
          <t>2026-06-15</t>
        </is>
      </c>
      <c r="C28" s="18">
        <f>$B$23</f>
        <v/>
      </c>
    </row>
    <row r="29">
      <c r="A29" s="31" t="inlineStr">
        <is>
          <t>3</t>
        </is>
      </c>
      <c r="B29" s="31" t="inlineStr">
        <is>
          <t>2026-09-15</t>
        </is>
      </c>
      <c r="C29" s="18">
        <f>$B$23</f>
        <v/>
      </c>
    </row>
    <row r="30">
      <c r="A30" s="31" t="inlineStr">
        <is>
          <t>4</t>
        </is>
      </c>
      <c r="B30" s="31" t="inlineStr">
        <is>
          <t>2027-01-15</t>
        </is>
      </c>
      <c r="C30" s="18">
        <f>$B$23</f>
        <v/>
      </c>
    </row>
    <row r="32" ht="32" customHeight="1">
      <c r="A32" s="33" t="inlineStr">
        <is>
          <t>You can skip the January 15, 2027 payment if you file the 2026 return by February 1, 2027 and pay the balance due. Equal amounts ignore the annualized method.</t>
        </is>
      </c>
    </row>
  </sheetData>
  <mergeCells count="3">
    <mergeCell ref="A1:C1"/>
    <mergeCell ref="A32:C32"/>
    <mergeCell ref="A2:C2"/>
  </mergeCells>
  <dataValidations count="1">
    <dataValidation sqref="B4" showDropDown="0" showInputMessage="0" showErrorMessage="0" allowBlank="0" type="list">
      <formula1>"standard,actual"</formula1>
    </dataValidation>
  </dataValidations>
  <printOptions horizontalCentered="1"/>
  <pageMargins left="0.5" right="0.5" top="0.75" bottom="0.75" header="0.5" footer="0.5"/>
  <pageSetup orientation="landscape" paperSize="3" fitToHeight="1" fitToWidth="1"/>
  <headerFooter>
    <oddHeader>&amp;LGigMath Pro Kit — Quarterly tax</oddHeader>
    <oddFooter>&amp;LNot a filed Form 1040-ES. Confirm at IRS.gov.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2026-10-18T04:57:22Z</dcterms:created>
  <dcterms:modified xsi:type="dcterms:W3CDTF">2026-10-18T04:57:22Z</dcterms:modified>
</cp:coreProperties>
</file>